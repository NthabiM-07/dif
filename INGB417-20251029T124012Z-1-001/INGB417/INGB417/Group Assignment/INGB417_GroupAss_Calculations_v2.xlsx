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\OneDrive\Desktop\2025\INGB417\GA3\"/>
    </mc:Choice>
  </mc:AlternateContent>
  <xr:revisionPtr revIDLastSave="0" documentId="13_ncr:1_{34CF8209-7773-4917-9A66-C8145CA9D69C}" xr6:coauthVersionLast="47" xr6:coauthVersionMax="47" xr10:uidLastSave="{00000000-0000-0000-0000-000000000000}"/>
  <bookViews>
    <workbookView xWindow="-108" yWindow="-108" windowWidth="23256" windowHeight="12456" activeTab="6" xr2:uid="{EA8ECB5A-7ADA-4059-9235-09705343D97D}"/>
  </bookViews>
  <sheets>
    <sheet name="Costs" sheetId="6" r:id="rId1"/>
    <sheet name="Storage" sheetId="3" r:id="rId2"/>
    <sheet name="Storage Appendix" sheetId="7" r:id="rId3"/>
    <sheet name="Operation A" sheetId="1" r:id="rId4"/>
    <sheet name="Op.A Appendix" sheetId="4" r:id="rId5"/>
    <sheet name="Operation B" sheetId="2" r:id="rId6"/>
    <sheet name="Op.B Appendix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E24" i="5"/>
  <c r="E25" i="5"/>
  <c r="E26" i="5"/>
  <c r="E22" i="5"/>
  <c r="D10" i="6"/>
  <c r="D17" i="6"/>
  <c r="D18" i="6"/>
  <c r="D19" i="6"/>
  <c r="D20" i="6"/>
  <c r="D21" i="6"/>
  <c r="D22" i="6"/>
  <c r="D23" i="6"/>
  <c r="D24" i="6"/>
  <c r="D25" i="6"/>
  <c r="D16" i="6"/>
  <c r="D3" i="6"/>
  <c r="D4" i="6"/>
  <c r="D5" i="6"/>
  <c r="D6" i="6"/>
  <c r="D7" i="6"/>
  <c r="D8" i="6"/>
  <c r="D9" i="6"/>
  <c r="D2" i="6"/>
  <c r="D11" i="3"/>
  <c r="D12" i="3"/>
  <c r="D13" i="3"/>
  <c r="D14" i="3"/>
  <c r="D10" i="3"/>
  <c r="D21" i="3"/>
  <c r="D22" i="3"/>
  <c r="D18" i="3"/>
  <c r="D19" i="3"/>
  <c r="D20" i="3"/>
  <c r="D17" i="3"/>
  <c r="I23" i="2"/>
  <c r="I19" i="2"/>
  <c r="I20" i="2"/>
  <c r="I21" i="2"/>
  <c r="I22" i="2"/>
  <c r="I18" i="2"/>
  <c r="D9" i="2"/>
  <c r="D10" i="2"/>
  <c r="D11" i="2"/>
  <c r="D12" i="2"/>
  <c r="D8" i="2"/>
  <c r="H7" i="2"/>
  <c r="B27" i="5"/>
  <c r="C26" i="5"/>
  <c r="D26" i="5" s="1"/>
  <c r="C25" i="5"/>
  <c r="D25" i="5" s="1"/>
  <c r="C24" i="5"/>
  <c r="D24" i="5" s="1"/>
  <c r="C23" i="5"/>
  <c r="D23" i="5" s="1"/>
  <c r="C22" i="5"/>
  <c r="D22" i="5" s="1"/>
  <c r="E4" i="5"/>
  <c r="B3" i="5"/>
  <c r="B2" i="5"/>
  <c r="D47" i="4"/>
  <c r="D46" i="4"/>
  <c r="D45" i="4"/>
  <c r="D44" i="4"/>
  <c r="D43" i="4"/>
  <c r="C36" i="4"/>
  <c r="E35" i="4"/>
  <c r="E34" i="4"/>
  <c r="E33" i="4"/>
  <c r="E32" i="4"/>
  <c r="E31" i="4"/>
  <c r="E17" i="4"/>
  <c r="B17" i="4"/>
  <c r="C17" i="4" s="1"/>
  <c r="E16" i="4"/>
  <c r="B16" i="4"/>
  <c r="C16" i="4" s="1"/>
  <c r="E15" i="4"/>
  <c r="B15" i="4"/>
  <c r="C15" i="4" s="1"/>
  <c r="D15" i="4" s="1"/>
  <c r="E14" i="4"/>
  <c r="B14" i="4"/>
  <c r="C14" i="4" s="1"/>
  <c r="D14" i="4" s="1"/>
  <c r="F14" i="4" s="1"/>
  <c r="E13" i="4"/>
  <c r="B13" i="4"/>
  <c r="H7" i="4"/>
  <c r="D26" i="6" l="1"/>
  <c r="D11" i="6" s="1"/>
  <c r="D12" i="6" s="1"/>
  <c r="D15" i="3"/>
  <c r="D23" i="3" s="1"/>
  <c r="C10" i="5"/>
  <c r="D10" i="5" s="1"/>
  <c r="E10" i="5" s="1"/>
  <c r="D27" i="5"/>
  <c r="C27" i="5"/>
  <c r="C11" i="5"/>
  <c r="D11" i="5" s="1"/>
  <c r="E11" i="5" s="1"/>
  <c r="C9" i="5"/>
  <c r="D9" i="5" s="1"/>
  <c r="E9" i="5" s="1"/>
  <c r="C8" i="5"/>
  <c r="D8" i="5" s="1"/>
  <c r="E8" i="5" s="1"/>
  <c r="C12" i="5"/>
  <c r="D12" i="5" s="1"/>
  <c r="E12" i="5" s="1"/>
  <c r="B18" i="4"/>
  <c r="F15" i="4"/>
  <c r="B25" i="4" s="1"/>
  <c r="E18" i="4"/>
  <c r="E36" i="4"/>
  <c r="D16" i="4"/>
  <c r="F16" i="4" s="1"/>
  <c r="B24" i="4"/>
  <c r="G14" i="4"/>
  <c r="D17" i="4"/>
  <c r="F17" i="4" s="1"/>
  <c r="C13" i="4"/>
  <c r="B38" i="5" l="1"/>
  <c r="B39" i="5" s="1"/>
  <c r="B45" i="5" s="1"/>
  <c r="E13" i="5"/>
  <c r="G15" i="4"/>
  <c r="C18" i="4"/>
  <c r="D13" i="4"/>
  <c r="D25" i="4"/>
  <c r="C25" i="4"/>
  <c r="F25" i="4"/>
  <c r="D24" i="4"/>
  <c r="C24" i="4"/>
  <c r="F24" i="4"/>
  <c r="B27" i="4"/>
  <c r="G17" i="4"/>
  <c r="G16" i="4"/>
  <c r="B26" i="4"/>
  <c r="E25" i="4" l="1"/>
  <c r="H25" i="4"/>
  <c r="I25" i="4" s="1"/>
  <c r="B33" i="4"/>
  <c r="F33" i="4" s="1"/>
  <c r="G25" i="4"/>
  <c r="E24" i="4"/>
  <c r="H24" i="4"/>
  <c r="I24" i="4" s="1"/>
  <c r="D26" i="4"/>
  <c r="C26" i="4"/>
  <c r="F26" i="4"/>
  <c r="D27" i="4"/>
  <c r="C27" i="4"/>
  <c r="F27" i="4"/>
  <c r="F13" i="4"/>
  <c r="D18" i="4"/>
  <c r="B32" i="4"/>
  <c r="F32" i="4" s="1"/>
  <c r="G24" i="4"/>
  <c r="F37" i="1"/>
  <c r="E33" i="1"/>
  <c r="D15" i="1"/>
  <c r="J7" i="1"/>
  <c r="D48" i="1"/>
  <c r="D49" i="1"/>
  <c r="D50" i="1"/>
  <c r="D51" i="1"/>
  <c r="D47" i="1"/>
  <c r="K19" i="1"/>
  <c r="K15" i="1"/>
  <c r="K16" i="1"/>
  <c r="K17" i="1"/>
  <c r="K18" i="1"/>
  <c r="K14" i="1"/>
  <c r="J15" i="1"/>
  <c r="J16" i="1"/>
  <c r="J17" i="1"/>
  <c r="J18" i="1"/>
  <c r="J14" i="1"/>
  <c r="I15" i="1"/>
  <c r="I16" i="1"/>
  <c r="I17" i="1"/>
  <c r="I18" i="1"/>
  <c r="I14" i="1"/>
  <c r="E26" i="4" l="1"/>
  <c r="H26" i="4"/>
  <c r="I26" i="4" s="1"/>
  <c r="E27" i="4"/>
  <c r="H27" i="4"/>
  <c r="I27" i="4" s="1"/>
  <c r="B34" i="4"/>
  <c r="F34" i="4" s="1"/>
  <c r="G26" i="4"/>
  <c r="G13" i="4"/>
  <c r="G18" i="4" s="1"/>
  <c r="F18" i="4"/>
  <c r="B23" i="4"/>
  <c r="B35" i="4"/>
  <c r="F35" i="4" s="1"/>
  <c r="G27" i="4"/>
  <c r="H35" i="1"/>
  <c r="H34" i="1"/>
  <c r="E15" i="1"/>
  <c r="E34" i="1"/>
  <c r="E35" i="1"/>
  <c r="E36" i="1"/>
  <c r="E37" i="1"/>
  <c r="B34" i="2"/>
  <c r="H9" i="2" s="1"/>
  <c r="B35" i="2"/>
  <c r="H10" i="2" s="1"/>
  <c r="B36" i="2"/>
  <c r="H11" i="2" s="1"/>
  <c r="B37" i="2"/>
  <c r="H12" i="2" s="1"/>
  <c r="B33" i="2"/>
  <c r="C34" i="2"/>
  <c r="C35" i="2"/>
  <c r="C36" i="2"/>
  <c r="C37" i="2"/>
  <c r="C33" i="2"/>
  <c r="B11" i="3"/>
  <c r="B19" i="3" s="1"/>
  <c r="B12" i="3"/>
  <c r="B20" i="3" s="1"/>
  <c r="C20" i="3" s="1"/>
  <c r="B13" i="3"/>
  <c r="B14" i="3"/>
  <c r="B10" i="3"/>
  <c r="B28" i="2"/>
  <c r="C24" i="2"/>
  <c r="D24" i="2" s="1"/>
  <c r="E24" i="2" s="1"/>
  <c r="C25" i="2"/>
  <c r="D25" i="2" s="1"/>
  <c r="E25" i="2" s="1"/>
  <c r="C26" i="2"/>
  <c r="D26" i="2" s="1"/>
  <c r="E26" i="2" s="1"/>
  <c r="C27" i="2"/>
  <c r="C23" i="2"/>
  <c r="D23" i="2" s="1"/>
  <c r="E23" i="2" s="1"/>
  <c r="C38" i="1"/>
  <c r="E4" i="2"/>
  <c r="B2" i="2"/>
  <c r="E16" i="1"/>
  <c r="E17" i="1"/>
  <c r="E18" i="1"/>
  <c r="E19" i="1"/>
  <c r="B16" i="1"/>
  <c r="C16" i="1" s="1"/>
  <c r="B17" i="1"/>
  <c r="B18" i="1"/>
  <c r="B19" i="1"/>
  <c r="B15" i="1"/>
  <c r="C19" i="1"/>
  <c r="D19" i="1" s="1"/>
  <c r="H7" i="1"/>
  <c r="C11" i="3" l="1"/>
  <c r="G11" i="3" s="1"/>
  <c r="E11" i="3"/>
  <c r="E20" i="3"/>
  <c r="F20" i="3" s="1"/>
  <c r="G20" i="3"/>
  <c r="C14" i="3"/>
  <c r="B22" i="3"/>
  <c r="C22" i="3" s="1"/>
  <c r="C13" i="3"/>
  <c r="B21" i="3"/>
  <c r="C21" i="3" s="1"/>
  <c r="C19" i="3"/>
  <c r="C12" i="3"/>
  <c r="F11" i="3"/>
  <c r="C10" i="3"/>
  <c r="B18" i="3"/>
  <c r="C18" i="3" s="1"/>
  <c r="H8" i="2"/>
  <c r="H13" i="2" s="1"/>
  <c r="B38" i="2"/>
  <c r="C9" i="2"/>
  <c r="D23" i="4"/>
  <c r="C23" i="4"/>
  <c r="C28" i="4" s="1"/>
  <c r="B28" i="4"/>
  <c r="F23" i="4"/>
  <c r="D33" i="2"/>
  <c r="C12" i="2"/>
  <c r="E12" i="2" s="1"/>
  <c r="I12" i="2" s="1"/>
  <c r="J12" i="2" s="1"/>
  <c r="D35" i="2"/>
  <c r="F35" i="2" s="1"/>
  <c r="D36" i="2"/>
  <c r="F36" i="2" s="1"/>
  <c r="C10" i="2"/>
  <c r="C8" i="2"/>
  <c r="E8" i="2" s="1"/>
  <c r="I8" i="2" s="1"/>
  <c r="D37" i="2"/>
  <c r="F37" i="2" s="1"/>
  <c r="C11" i="2"/>
  <c r="D27" i="2"/>
  <c r="E27" i="2" s="1"/>
  <c r="D34" i="2"/>
  <c r="F34" i="2" s="1"/>
  <c r="B15" i="3"/>
  <c r="B23" i="3" s="1"/>
  <c r="C23" i="3" s="1"/>
  <c r="G23" i="3" s="1"/>
  <c r="F19" i="1"/>
  <c r="B29" i="1" s="1"/>
  <c r="C29" i="1" s="1"/>
  <c r="C28" i="2"/>
  <c r="D16" i="1"/>
  <c r="F16" i="1" s="1"/>
  <c r="B26" i="1" s="1"/>
  <c r="E38" i="1"/>
  <c r="C15" i="1"/>
  <c r="F15" i="1" s="1"/>
  <c r="G15" i="1" s="1"/>
  <c r="C18" i="1"/>
  <c r="D18" i="1" s="1"/>
  <c r="F18" i="1" s="1"/>
  <c r="G18" i="1" s="1"/>
  <c r="C17" i="1"/>
  <c r="D17" i="1" s="1"/>
  <c r="F17" i="1" s="1"/>
  <c r="G17" i="1" s="1"/>
  <c r="B20" i="1"/>
  <c r="E22" i="3" l="1"/>
  <c r="F22" i="3" s="1"/>
  <c r="G22" i="3"/>
  <c r="E14" i="3"/>
  <c r="F14" i="3" s="1"/>
  <c r="G14" i="3"/>
  <c r="G12" i="3"/>
  <c r="E12" i="3"/>
  <c r="F12" i="3" s="1"/>
  <c r="G13" i="3"/>
  <c r="E13" i="3"/>
  <c r="F13" i="3" s="1"/>
  <c r="E18" i="3"/>
  <c r="F18" i="3" s="1"/>
  <c r="G18" i="3"/>
  <c r="G10" i="3"/>
  <c r="E10" i="3"/>
  <c r="E19" i="3"/>
  <c r="G19" i="3"/>
  <c r="E21" i="3"/>
  <c r="F21" i="3" s="1"/>
  <c r="G21" i="3"/>
  <c r="C15" i="3"/>
  <c r="G15" i="3" s="1"/>
  <c r="J8" i="2"/>
  <c r="F33" i="2"/>
  <c r="F38" i="2" s="1"/>
  <c r="B40" i="2" s="1"/>
  <c r="B41" i="2" s="1"/>
  <c r="B47" i="2" s="1"/>
  <c r="D38" i="2"/>
  <c r="B31" i="4"/>
  <c r="G23" i="4"/>
  <c r="G28" i="4" s="1"/>
  <c r="F28" i="4"/>
  <c r="E23" i="4"/>
  <c r="E28" i="4" s="1"/>
  <c r="D28" i="4"/>
  <c r="H23" i="4"/>
  <c r="G19" i="1"/>
  <c r="E28" i="2"/>
  <c r="C17" i="2" s="1"/>
  <c r="D28" i="2"/>
  <c r="E10" i="2"/>
  <c r="I10" i="2" s="1"/>
  <c r="J10" i="2" s="1"/>
  <c r="E11" i="2"/>
  <c r="I11" i="2" s="1"/>
  <c r="J11" i="2" s="1"/>
  <c r="E9" i="2"/>
  <c r="I9" i="2" s="1"/>
  <c r="J9" i="2" s="1"/>
  <c r="C26" i="1"/>
  <c r="F26" i="1"/>
  <c r="B27" i="1"/>
  <c r="C27" i="1" s="1"/>
  <c r="G16" i="1"/>
  <c r="G20" i="1" s="1"/>
  <c r="F29" i="1"/>
  <c r="B28" i="1"/>
  <c r="C20" i="1"/>
  <c r="D29" i="1"/>
  <c r="D26" i="1"/>
  <c r="B25" i="1"/>
  <c r="D20" i="1"/>
  <c r="E23" i="3" l="1"/>
  <c r="F19" i="3"/>
  <c r="F23" i="3" s="1"/>
  <c r="E15" i="3"/>
  <c r="F10" i="3"/>
  <c r="F15" i="3"/>
  <c r="I13" i="2"/>
  <c r="J13" i="2"/>
  <c r="I23" i="4"/>
  <c r="I28" i="4" s="1"/>
  <c r="H28" i="4"/>
  <c r="F31" i="4"/>
  <c r="F36" i="4" s="1"/>
  <c r="B36" i="4"/>
  <c r="D27" i="1"/>
  <c r="E13" i="2"/>
  <c r="G29" i="1"/>
  <c r="B37" i="1"/>
  <c r="G26" i="1"/>
  <c r="B34" i="1"/>
  <c r="F34" i="1" s="1"/>
  <c r="B30" i="1"/>
  <c r="F25" i="1"/>
  <c r="F28" i="1"/>
  <c r="E27" i="1"/>
  <c r="H27" i="1"/>
  <c r="I27" i="1" s="1"/>
  <c r="C28" i="1"/>
  <c r="E26" i="1"/>
  <c r="H26" i="1"/>
  <c r="I26" i="1" s="1"/>
  <c r="F27" i="1"/>
  <c r="E29" i="1"/>
  <c r="H29" i="1"/>
  <c r="I29" i="1" s="1"/>
  <c r="D28" i="1"/>
  <c r="D25" i="1"/>
  <c r="H25" i="1" s="1"/>
  <c r="C25" i="1"/>
  <c r="F20" i="1"/>
  <c r="E20" i="1"/>
  <c r="B39" i="4" l="1"/>
  <c r="B40" i="4" s="1"/>
  <c r="B33" i="1"/>
  <c r="F33" i="1" s="1"/>
  <c r="G28" i="1"/>
  <c r="B36" i="1"/>
  <c r="F36" i="1" s="1"/>
  <c r="G27" i="1"/>
  <c r="B35" i="1"/>
  <c r="F35" i="1" s="1"/>
  <c r="C30" i="1"/>
  <c r="B3" i="2" s="1"/>
  <c r="E28" i="1"/>
  <c r="H28" i="1"/>
  <c r="I28" i="1" s="1"/>
  <c r="F30" i="1"/>
  <c r="G25" i="1"/>
  <c r="I25" i="1"/>
  <c r="E25" i="1"/>
  <c r="D30" i="1"/>
  <c r="F38" i="1" l="1"/>
  <c r="C48" i="2"/>
  <c r="B38" i="1"/>
  <c r="E30" i="1"/>
  <c r="I30" i="1"/>
  <c r="G30" i="1"/>
  <c r="H30" i="1"/>
  <c r="B41" i="1" s="1"/>
  <c r="B42" i="1" s="1"/>
</calcChain>
</file>

<file path=xl/sharedStrings.xml><?xml version="1.0" encoding="utf-8"?>
<sst xmlns="http://schemas.openxmlformats.org/spreadsheetml/2006/main" count="348" uniqueCount="122">
  <si>
    <t>Product</t>
  </si>
  <si>
    <t>Height of roll (m)</t>
  </si>
  <si>
    <t>Aperture (mm)</t>
  </si>
  <si>
    <t>Roll length (m)</t>
  </si>
  <si>
    <t>Weight per roll (kg)</t>
  </si>
  <si>
    <t>Galvinized finish</t>
  </si>
  <si>
    <t>Bird Netting</t>
  </si>
  <si>
    <t>Chicken Netting</t>
  </si>
  <si>
    <t>Jackal Netting</t>
  </si>
  <si>
    <t>Pig Netting</t>
  </si>
  <si>
    <t>Welded Mesh</t>
  </si>
  <si>
    <t>Totals</t>
  </si>
  <si>
    <t>Light</t>
  </si>
  <si>
    <t>Heavy</t>
  </si>
  <si>
    <t>Weight of steel wire coil</t>
  </si>
  <si>
    <t>https://aswonline.com.au/product/industrial-bright-wire-coil-5mm-x-1000kg/</t>
  </si>
  <si>
    <t>Length of raw material coil (m)</t>
  </si>
  <si>
    <t>Weight per meter (kg)</t>
  </si>
  <si>
    <t>Length of coil on exit (m)</t>
  </si>
  <si>
    <t>km needed per annum</t>
  </si>
  <si>
    <t>Total</t>
  </si>
  <si>
    <t>m per day</t>
  </si>
  <si>
    <t>km per day</t>
  </si>
  <si>
    <t>Original diameter (m)</t>
  </si>
  <si>
    <t>Wire Diameter (m)</t>
  </si>
  <si>
    <t>Metres per roll</t>
  </si>
  <si>
    <t>Rolls per annum</t>
  </si>
  <si>
    <t>m needed per annum</t>
  </si>
  <si>
    <t>Before draw</t>
  </si>
  <si>
    <t>After draw</t>
  </si>
  <si>
    <t>Days worked per day</t>
  </si>
  <si>
    <t>https://gaa.com.au/standard-specification-for-hot-dip-galvanizing/</t>
  </si>
  <si>
    <t>Total metal to be galvinised per day (km)</t>
  </si>
  <si>
    <t>Wire diameter (m)</t>
  </si>
  <si>
    <t>pi</t>
  </si>
  <si>
    <t>Surface area per meter (m^2)</t>
  </si>
  <si>
    <t>Zinc mass per meter (g)</t>
  </si>
  <si>
    <t>Zinc mass per km (kg)</t>
  </si>
  <si>
    <t>Avg galvinisation coating thickness (µm)</t>
  </si>
  <si>
    <t>Avg galvinisation coating thickness (m)</t>
  </si>
  <si>
    <t>Length (m)</t>
  </si>
  <si>
    <t>Width (m)</t>
  </si>
  <si>
    <t>Depth (m)</t>
  </si>
  <si>
    <t>Drawing Speed (m/s)</t>
  </si>
  <si>
    <t>No. of machines needed</t>
  </si>
  <si>
    <t>Length one machine draws per day</t>
  </si>
  <si>
    <t>https://www.alibaba.com/product-detail/Customized-Galvanizing-Line-High-Speed-Capacity_1600550137652.html</t>
  </si>
  <si>
    <t>Galvaniser dimensions</t>
  </si>
  <si>
    <t>Galvanising speed (kg/h)</t>
  </si>
  <si>
    <t>Zinc ingot weight (kg)</t>
  </si>
  <si>
    <t>With 4% scrap allowance (after draw)</t>
  </si>
  <si>
    <t>With 4% scrap allowance (before draw)</t>
  </si>
  <si>
    <t>No. of raw material coils needed</t>
  </si>
  <si>
    <t>No. of ingots needed daily</t>
  </si>
  <si>
    <t>machines needed</t>
  </si>
  <si>
    <t>Daily Production Requirement (m)</t>
  </si>
  <si>
    <t>daily requirement (kg)</t>
  </si>
  <si>
    <t>yearly requirement (kg)</t>
  </si>
  <si>
    <t>hourly requirement (kg)</t>
  </si>
  <si>
    <t>*30 mins needed each morning to replenish galvanisers</t>
  </si>
  <si>
    <t>Drawing Speed machine 2</t>
  </si>
  <si>
    <t>-</t>
  </si>
  <si>
    <t>Zinc density (g/cm^3)</t>
  </si>
  <si>
    <t>Rolls produced per day</t>
  </si>
  <si>
    <t>Customer requirements per annum (kg)</t>
  </si>
  <si>
    <t>Small order rolls</t>
  </si>
  <si>
    <t>Daily demand (m)</t>
  </si>
  <si>
    <t>Surface area(M^2)</t>
  </si>
  <si>
    <t>gavlanised coating (kg/m^2)</t>
  </si>
  <si>
    <t>Wire radius (m)</t>
  </si>
  <si>
    <t>*work with 7hrs per day of galvanising time (1hr setup and cleaning time)</t>
  </si>
  <si>
    <t>*use for 7hrs per day (1hr cleaning and setup time)</t>
  </si>
  <si>
    <t>Weekly storage space needed (sqm)</t>
  </si>
  <si>
    <t>Total area of daily rolls (sqm)</t>
  </si>
  <si>
    <t>Demand per annum (tons)</t>
  </si>
  <si>
    <t>No. of raw material coils in storage (3 days)</t>
  </si>
  <si>
    <t>https://www.boliden.com/48e740/globalassets/products-new/documents/zinc-shg-product-sheet-2022.pdf</t>
  </si>
  <si>
    <t>No. of layers in pallet</t>
  </si>
  <si>
    <t>daily zinc demand (kg</t>
  </si>
  <si>
    <t>Material thickness (m)</t>
  </si>
  <si>
    <t>Zinc mass per unit area (g/m^2)</t>
  </si>
  <si>
    <t>No. of slabs on a pallet layer</t>
  </si>
  <si>
    <t>No. of ingots needed for work week</t>
  </si>
  <si>
    <t>Area for 5 days storage (sqm)</t>
  </si>
  <si>
    <t>Length of pallet (m)</t>
  </si>
  <si>
    <t>Width of pallet  (m)</t>
  </si>
  <si>
    <t>Height of pallet  (m)</t>
  </si>
  <si>
    <t>Large order rolls</t>
  </si>
  <si>
    <t>Galvaniser dimensions:</t>
  </si>
  <si>
    <t>Zinc mass needed (kg)</t>
  </si>
  <si>
    <t>wire lines per machine</t>
  </si>
  <si>
    <t>daily lines needed</t>
  </si>
  <si>
    <t>Area needed for one roll</t>
  </si>
  <si>
    <t>Roll Width (m)</t>
  </si>
  <si>
    <t>Pallets</t>
  </si>
  <si>
    <t>Component</t>
  </si>
  <si>
    <r>
      <t>Rate (R/ 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</si>
  <si>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Total m</t>
    </r>
    <r>
      <rPr>
        <b/>
        <vertAlign val="superscript"/>
        <sz val="11"/>
        <color rgb="FF000000"/>
        <rFont val="Arial"/>
        <family val="2"/>
      </rPr>
      <t>2</t>
    </r>
  </si>
  <si>
    <t>Cost</t>
  </si>
  <si>
    <t>Building</t>
  </si>
  <si>
    <t>Offices</t>
  </si>
  <si>
    <t>Cafeteria</t>
  </si>
  <si>
    <t>Parking &amp; Roads</t>
  </si>
  <si>
    <t>Restrooms</t>
  </si>
  <si>
    <t>Electrical</t>
  </si>
  <si>
    <t>Lighting</t>
  </si>
  <si>
    <t>Ventilation</t>
  </si>
  <si>
    <t>Equipment</t>
  </si>
  <si>
    <t>Rate (R/ equipment)</t>
  </si>
  <si>
    <t>No. of equipment</t>
  </si>
  <si>
    <t>Storage Racks</t>
  </si>
  <si>
    <t>Model 450 Netting</t>
  </si>
  <si>
    <t>Model 300 Netting</t>
  </si>
  <si>
    <t>Galvaniser</t>
  </si>
  <si>
    <t>Hexagonal Netting</t>
  </si>
  <si>
    <t>Welded Mesh Netting</t>
  </si>
  <si>
    <t>Packaging Machine</t>
  </si>
  <si>
    <t>Workbenches</t>
  </si>
  <si>
    <t>Pallet Jacks</t>
  </si>
  <si>
    <t>Electric Forklifts</t>
  </si>
  <si>
    <t>Fire Safety</t>
  </si>
  <si>
    <t>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</si>
</sst>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2" fontId="0" fillId="0" borderId="0" xfId="0" applyNumberFormat="1"/>
    <xf numFmtId="0" fontId="1" fillId="0" borderId="1" xfId="0" applyFont="1" applyBorder="1"/>
    <xf numFmtId="2" fontId="0" fillId="0" borderId="1" xfId="0" applyNumberFormat="1" applyBorder="1"/>
    <xf numFmtId="164" fontId="0" fillId="0" borderId="0" xfId="0" applyNumberFormat="1"/>
    <xf numFmtId="0" fontId="0" fillId="0" borderId="1" xfId="0" applyBorder="1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1" fillId="6" borderId="0" xfId="0" applyFont="1" applyFill="1"/>
    <xf numFmtId="2" fontId="0" fillId="6" borderId="0" xfId="0" applyNumberFormat="1" applyFill="1"/>
    <xf numFmtId="2" fontId="0" fillId="6" borderId="1" xfId="0" applyNumberFormat="1" applyFill="1" applyBorder="1"/>
    <xf numFmtId="164" fontId="0" fillId="6" borderId="0" xfId="0" applyNumberFormat="1" applyFill="1"/>
    <xf numFmtId="164" fontId="0" fillId="6" borderId="1" xfId="0" applyNumberFormat="1" applyFill="1" applyBorder="1"/>
    <xf numFmtId="0" fontId="3" fillId="6" borderId="0" xfId="0" applyFont="1" applyFill="1" applyAlignment="1">
      <alignment vertical="center"/>
    </xf>
    <xf numFmtId="0" fontId="0" fillId="6" borderId="1" xfId="0" applyFill="1" applyBorder="1"/>
    <xf numFmtId="165" fontId="0" fillId="6" borderId="0" xfId="0" applyNumberFormat="1" applyFill="1"/>
    <xf numFmtId="165" fontId="0" fillId="0" borderId="0" xfId="0" applyNumberFormat="1"/>
    <xf numFmtId="165" fontId="1" fillId="0" borderId="1" xfId="0" applyNumberFormat="1" applyFont="1" applyBorder="1"/>
    <xf numFmtId="0" fontId="4" fillId="0" borderId="0" xfId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vertical="center"/>
    </xf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2" fontId="0" fillId="0" borderId="11" xfId="0" applyNumberFormat="1" applyBorder="1"/>
    <xf numFmtId="164" fontId="0" fillId="0" borderId="11" xfId="0" applyNumberFormat="1" applyBorder="1"/>
    <xf numFmtId="2" fontId="0" fillId="0" borderId="12" xfId="0" applyNumberFormat="1" applyBorder="1"/>
    <xf numFmtId="0" fontId="0" fillId="0" borderId="12" xfId="0" applyBorder="1"/>
    <xf numFmtId="0" fontId="0" fillId="0" borderId="5" xfId="0" applyBorder="1"/>
    <xf numFmtId="0" fontId="1" fillId="0" borderId="6" xfId="0" applyFont="1" applyBorder="1"/>
    <xf numFmtId="0" fontId="0" fillId="0" borderId="11" xfId="0" applyBorder="1"/>
    <xf numFmtId="0" fontId="0" fillId="0" borderId="10" xfId="0" applyBorder="1"/>
    <xf numFmtId="0" fontId="1" fillId="2" borderId="4" xfId="0" applyFont="1" applyFill="1" applyBorder="1"/>
    <xf numFmtId="0" fontId="0" fillId="4" borderId="11" xfId="0" applyFill="1" applyBorder="1"/>
    <xf numFmtId="0" fontId="3" fillId="0" borderId="4" xfId="0" applyFont="1" applyBorder="1"/>
    <xf numFmtId="0" fontId="0" fillId="0" borderId="9" xfId="0" applyBorder="1"/>
    <xf numFmtId="0" fontId="4" fillId="0" borderId="0" xfId="1" applyFill="1"/>
    <xf numFmtId="0" fontId="1" fillId="0" borderId="11" xfId="0" applyFont="1" applyBorder="1"/>
    <xf numFmtId="165" fontId="1" fillId="0" borderId="11" xfId="0" applyNumberFormat="1" applyFont="1" applyBorder="1"/>
    <xf numFmtId="165" fontId="1" fillId="0" borderId="12" xfId="0" applyNumberFormat="1" applyFont="1" applyBorder="1"/>
    <xf numFmtId="0" fontId="0" fillId="0" borderId="7" xfId="0" applyBorder="1"/>
    <xf numFmtId="0" fontId="1" fillId="0" borderId="2" xfId="0" applyFont="1" applyBorder="1"/>
    <xf numFmtId="0" fontId="1" fillId="0" borderId="9" xfId="0" applyFont="1" applyBorder="1"/>
    <xf numFmtId="0" fontId="0" fillId="7" borderId="0" xfId="0" applyFill="1"/>
    <xf numFmtId="0" fontId="1" fillId="7" borderId="0" xfId="0" applyFont="1" applyFill="1"/>
    <xf numFmtId="0" fontId="0" fillId="7" borderId="1" xfId="0" applyFill="1" applyBorder="1"/>
    <xf numFmtId="0" fontId="0" fillId="8" borderId="0" xfId="0" applyFill="1"/>
    <xf numFmtId="0" fontId="1" fillId="8" borderId="0" xfId="0" applyFont="1" applyFill="1"/>
    <xf numFmtId="0" fontId="0" fillId="8" borderId="1" xfId="0" applyFill="1" applyBorder="1"/>
    <xf numFmtId="0" fontId="6" fillId="9" borderId="13" xfId="0" applyFont="1" applyFill="1" applyBorder="1" applyAlignment="1">
      <alignment horizontal="justify" vertical="center" wrapText="1"/>
    </xf>
    <xf numFmtId="0" fontId="6" fillId="9" borderId="14" xfId="0" applyFont="1" applyFill="1" applyBorder="1" applyAlignment="1">
      <alignment horizontal="justify" vertical="center" wrapText="1"/>
    </xf>
    <xf numFmtId="0" fontId="6" fillId="10" borderId="15" xfId="0" applyFont="1" applyFill="1" applyBorder="1" applyAlignment="1">
      <alignment horizontal="justify" vertical="center" wrapText="1"/>
    </xf>
    <xf numFmtId="3" fontId="5" fillId="0" borderId="9" xfId="0" applyNumberFormat="1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8" fillId="10" borderId="15" xfId="0" applyFont="1" applyFill="1" applyBorder="1" applyAlignment="1">
      <alignment horizontal="justify" vertical="center" wrapText="1"/>
    </xf>
    <xf numFmtId="0" fontId="9" fillId="0" borderId="9" xfId="0" applyFont="1" applyBorder="1" applyAlignment="1">
      <alignment horizontal="justify" vertical="center" wrapText="1"/>
    </xf>
    <xf numFmtId="0" fontId="10" fillId="10" borderId="15" xfId="0" applyFont="1" applyFill="1" applyBorder="1" applyAlignment="1">
      <alignment horizontal="justify" vertical="center" wrapText="1"/>
    </xf>
    <xf numFmtId="0" fontId="5" fillId="10" borderId="15" xfId="0" applyFont="1" applyFill="1" applyBorder="1" applyAlignment="1">
      <alignment horizontal="justify" vertical="center" wrapText="1"/>
    </xf>
    <xf numFmtId="0" fontId="10" fillId="10" borderId="1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1" fillId="0" borderId="9" xfId="0" applyFont="1" applyFill="1" applyBorder="1"/>
    <xf numFmtId="0" fontId="11" fillId="0" borderId="0" xfId="0" applyFont="1"/>
    <xf numFmtId="0" fontId="0" fillId="0" borderId="0" xfId="0" applyBorder="1"/>
    <xf numFmtId="0" fontId="1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liden.com/48e740/globalassets/products-new/documents/zinc-shg-product-sheet-2022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9F9B-3E29-44D5-B282-0A59E7692184}">
  <dimension ref="A1:F26"/>
  <sheetViews>
    <sheetView workbookViewId="0">
      <selection activeCell="B10" sqref="B10:D12"/>
    </sheetView>
  </sheetViews>
  <sheetFormatPr defaultRowHeight="14.4" x14ac:dyDescent="0.3"/>
  <cols>
    <col min="1" max="1" width="21.33203125" customWidth="1"/>
    <col min="2" max="2" width="20.5546875" bestFit="1" customWidth="1"/>
    <col min="3" max="3" width="17.88671875" bestFit="1" customWidth="1"/>
    <col min="4" max="4" width="13" customWidth="1"/>
  </cols>
  <sheetData>
    <row r="1" spans="1:6" ht="16.8" thickBot="1" x14ac:dyDescent="0.35">
      <c r="A1" s="66" t="s">
        <v>95</v>
      </c>
      <c r="B1" s="67" t="s">
        <v>96</v>
      </c>
      <c r="C1" s="67" t="s">
        <v>97</v>
      </c>
      <c r="D1" s="67" t="s">
        <v>98</v>
      </c>
    </row>
    <row r="2" spans="1:6" ht="15" thickBot="1" x14ac:dyDescent="0.35">
      <c r="A2" s="68" t="s">
        <v>99</v>
      </c>
      <c r="B2" s="69">
        <v>7000</v>
      </c>
      <c r="C2" s="69">
        <v>21625</v>
      </c>
      <c r="D2" s="70">
        <f>B2*C2</f>
        <v>151375000</v>
      </c>
      <c r="F2">
        <v>108125000</v>
      </c>
    </row>
    <row r="3" spans="1:6" ht="15" thickBot="1" x14ac:dyDescent="0.35">
      <c r="A3" s="68" t="s">
        <v>100</v>
      </c>
      <c r="B3" s="69">
        <v>10000</v>
      </c>
      <c r="C3" s="70">
        <v>350</v>
      </c>
      <c r="D3" s="70">
        <f t="shared" ref="D3:D10" si="0">B3*C3</f>
        <v>3500000</v>
      </c>
    </row>
    <row r="4" spans="1:6" ht="15" thickBot="1" x14ac:dyDescent="0.35">
      <c r="A4" s="68" t="s">
        <v>101</v>
      </c>
      <c r="B4" s="69">
        <v>10000</v>
      </c>
      <c r="C4" s="70">
        <v>460</v>
      </c>
      <c r="D4" s="70">
        <f t="shared" si="0"/>
        <v>4600000</v>
      </c>
    </row>
    <row r="5" spans="1:6" ht="15" thickBot="1" x14ac:dyDescent="0.35">
      <c r="A5" s="68" t="s">
        <v>102</v>
      </c>
      <c r="B5" s="70">
        <v>1000</v>
      </c>
      <c r="C5" s="69">
        <v>6145</v>
      </c>
      <c r="D5" s="70">
        <f t="shared" si="0"/>
        <v>6145000</v>
      </c>
    </row>
    <row r="6" spans="1:6" ht="15" thickBot="1" x14ac:dyDescent="0.35">
      <c r="A6" s="68" t="s">
        <v>103</v>
      </c>
      <c r="B6" s="69">
        <v>7500</v>
      </c>
      <c r="C6" s="70">
        <v>385</v>
      </c>
      <c r="D6" s="70">
        <f t="shared" si="0"/>
        <v>2887500</v>
      </c>
    </row>
    <row r="7" spans="1:6" ht="15" thickBot="1" x14ac:dyDescent="0.35">
      <c r="A7" s="68" t="s">
        <v>104</v>
      </c>
      <c r="B7" s="69">
        <v>1500</v>
      </c>
      <c r="C7" s="69">
        <v>22000</v>
      </c>
      <c r="D7" s="70">
        <f t="shared" si="0"/>
        <v>33000000</v>
      </c>
    </row>
    <row r="8" spans="1:6" ht="15" thickBot="1" x14ac:dyDescent="0.35">
      <c r="A8" s="68" t="s">
        <v>105</v>
      </c>
      <c r="B8" s="70">
        <v>1000</v>
      </c>
      <c r="C8" s="69">
        <v>21625</v>
      </c>
      <c r="D8" s="70">
        <f t="shared" si="0"/>
        <v>21625000</v>
      </c>
    </row>
    <row r="9" spans="1:6" ht="15" thickBot="1" x14ac:dyDescent="0.35">
      <c r="A9" s="68" t="s">
        <v>106</v>
      </c>
      <c r="B9" s="69">
        <v>1000</v>
      </c>
      <c r="C9" s="69">
        <v>21625</v>
      </c>
      <c r="D9" s="70">
        <f t="shared" si="0"/>
        <v>21625000</v>
      </c>
    </row>
    <row r="10" spans="1:6" ht="15" thickBot="1" x14ac:dyDescent="0.35">
      <c r="A10" s="68" t="s">
        <v>120</v>
      </c>
      <c r="B10" s="69">
        <v>300</v>
      </c>
      <c r="C10" s="69">
        <v>22000</v>
      </c>
      <c r="D10" s="70">
        <f t="shared" si="0"/>
        <v>6600000</v>
      </c>
    </row>
    <row r="11" spans="1:6" ht="15" thickBot="1" x14ac:dyDescent="0.35">
      <c r="A11" s="68" t="s">
        <v>107</v>
      </c>
      <c r="B11" s="70"/>
      <c r="C11" s="70"/>
      <c r="D11" s="70">
        <f>D26</f>
        <v>92755000</v>
      </c>
    </row>
    <row r="12" spans="1:6" ht="16.2" thickBot="1" x14ac:dyDescent="0.35">
      <c r="A12" s="71" t="s">
        <v>20</v>
      </c>
      <c r="B12" s="70"/>
      <c r="C12" s="70"/>
      <c r="D12" s="72">
        <f>SUM(D2:D11)</f>
        <v>344112500</v>
      </c>
    </row>
    <row r="14" spans="1:6" ht="15" thickBot="1" x14ac:dyDescent="0.35"/>
    <row r="15" spans="1:6" ht="15" thickBot="1" x14ac:dyDescent="0.35">
      <c r="A15" s="66" t="s">
        <v>107</v>
      </c>
      <c r="B15" s="67" t="s">
        <v>108</v>
      </c>
      <c r="C15" s="67" t="s">
        <v>109</v>
      </c>
      <c r="D15" s="67" t="s">
        <v>98</v>
      </c>
    </row>
    <row r="16" spans="1:6" ht="15" thickBot="1" x14ac:dyDescent="0.35">
      <c r="A16" s="73" t="s">
        <v>110</v>
      </c>
      <c r="B16" s="70">
        <v>50000</v>
      </c>
      <c r="C16" s="70">
        <v>28</v>
      </c>
      <c r="D16" s="70">
        <f>B16*C16</f>
        <v>1400000</v>
      </c>
    </row>
    <row r="17" spans="1:4" ht="15" thickBot="1" x14ac:dyDescent="0.35">
      <c r="A17" s="73" t="s">
        <v>111</v>
      </c>
      <c r="B17" s="70">
        <v>175000</v>
      </c>
      <c r="C17" s="70">
        <v>20</v>
      </c>
      <c r="D17" s="70">
        <f t="shared" ref="D17:D25" si="1">B17*C17</f>
        <v>3500000</v>
      </c>
    </row>
    <row r="18" spans="1:4" ht="15" thickBot="1" x14ac:dyDescent="0.35">
      <c r="A18" s="73" t="s">
        <v>112</v>
      </c>
      <c r="B18" s="70">
        <v>100000</v>
      </c>
      <c r="C18" s="70">
        <v>15</v>
      </c>
      <c r="D18" s="70">
        <f t="shared" si="1"/>
        <v>1500000</v>
      </c>
    </row>
    <row r="19" spans="1:4" ht="15" thickBot="1" x14ac:dyDescent="0.35">
      <c r="A19" s="73" t="s">
        <v>113</v>
      </c>
      <c r="B19" s="70">
        <v>7000000</v>
      </c>
      <c r="C19" s="70">
        <v>7</v>
      </c>
      <c r="D19" s="70">
        <f t="shared" si="1"/>
        <v>49000000</v>
      </c>
    </row>
    <row r="20" spans="1:4" ht="15" thickBot="1" x14ac:dyDescent="0.35">
      <c r="A20" s="73" t="s">
        <v>114</v>
      </c>
      <c r="B20" s="70">
        <v>300000</v>
      </c>
      <c r="C20" s="70">
        <v>49</v>
      </c>
      <c r="D20" s="70">
        <f t="shared" si="1"/>
        <v>14700000</v>
      </c>
    </row>
    <row r="21" spans="1:4" ht="15" thickBot="1" x14ac:dyDescent="0.35">
      <c r="A21" s="75" t="s">
        <v>115</v>
      </c>
      <c r="B21" s="70">
        <v>150000</v>
      </c>
      <c r="C21" s="70">
        <v>10</v>
      </c>
      <c r="D21" s="70">
        <f t="shared" si="1"/>
        <v>1500000</v>
      </c>
    </row>
    <row r="22" spans="1:4" ht="15" thickBot="1" x14ac:dyDescent="0.35">
      <c r="A22" s="73" t="s">
        <v>116</v>
      </c>
      <c r="B22" s="70">
        <v>75000</v>
      </c>
      <c r="C22" s="70">
        <v>97</v>
      </c>
      <c r="D22" s="70">
        <f t="shared" si="1"/>
        <v>7275000</v>
      </c>
    </row>
    <row r="23" spans="1:4" ht="15" thickBot="1" x14ac:dyDescent="0.35">
      <c r="A23" s="73" t="s">
        <v>117</v>
      </c>
      <c r="B23" s="70">
        <v>20000</v>
      </c>
      <c r="C23" s="70">
        <v>4</v>
      </c>
      <c r="D23" s="70">
        <f t="shared" si="1"/>
        <v>80000</v>
      </c>
    </row>
    <row r="24" spans="1:4" ht="15" thickBot="1" x14ac:dyDescent="0.35">
      <c r="A24" s="73" t="s">
        <v>119</v>
      </c>
      <c r="B24" s="70">
        <v>400000</v>
      </c>
      <c r="C24" s="70">
        <v>24</v>
      </c>
      <c r="D24" s="70">
        <f t="shared" si="1"/>
        <v>9600000</v>
      </c>
    </row>
    <row r="25" spans="1:4" ht="15" thickBot="1" x14ac:dyDescent="0.35">
      <c r="A25" s="73" t="s">
        <v>118</v>
      </c>
      <c r="B25" s="70">
        <v>35000</v>
      </c>
      <c r="C25" s="70">
        <v>120</v>
      </c>
      <c r="D25" s="70">
        <f t="shared" si="1"/>
        <v>4200000</v>
      </c>
    </row>
    <row r="26" spans="1:4" ht="15" thickBot="1" x14ac:dyDescent="0.35">
      <c r="A26" s="74"/>
      <c r="B26" s="70"/>
      <c r="C26" s="70"/>
      <c r="D26" s="70">
        <f>SUM(D16:D25)</f>
        <v>92755000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D2B0-CD96-4856-9A8F-EA86CEF0A8C1}">
  <sheetPr>
    <pageSetUpPr fitToPage="1"/>
  </sheetPr>
  <dimension ref="A1:I24"/>
  <sheetViews>
    <sheetView topLeftCell="C1" workbookViewId="0">
      <selection activeCell="H16" sqref="H16"/>
    </sheetView>
  </sheetViews>
  <sheetFormatPr defaultRowHeight="14.4" x14ac:dyDescent="0.3"/>
  <cols>
    <col min="1" max="1" width="15.21875" bestFit="1" customWidth="1"/>
    <col min="2" max="2" width="21.33203125" bestFit="1" customWidth="1"/>
    <col min="3" max="3" width="21" bestFit="1" customWidth="1"/>
    <col min="4" max="4" width="22.33203125" bestFit="1" customWidth="1"/>
    <col min="5" max="5" width="26.6640625" bestFit="1" customWidth="1"/>
    <col min="6" max="6" width="33.44140625" bestFit="1" customWidth="1"/>
    <col min="7" max="7" width="18.21875" bestFit="1" customWidth="1"/>
    <col min="8" max="8" width="15.77734375" bestFit="1" customWidth="1"/>
    <col min="9" max="9" width="36.21875" bestFit="1" customWidth="1"/>
  </cols>
  <sheetData>
    <row r="1" spans="1:9" x14ac:dyDescent="0.3">
      <c r="A1" s="2" t="s">
        <v>0</v>
      </c>
      <c r="B1" s="2" t="s">
        <v>1</v>
      </c>
      <c r="C1" s="30" t="s">
        <v>2</v>
      </c>
      <c r="D1" s="31" t="s">
        <v>24</v>
      </c>
      <c r="E1" s="31" t="s">
        <v>3</v>
      </c>
      <c r="F1" s="31" t="s">
        <v>93</v>
      </c>
      <c r="G1" s="31" t="s">
        <v>4</v>
      </c>
      <c r="H1" s="31" t="s">
        <v>5</v>
      </c>
      <c r="I1" s="32" t="s">
        <v>64</v>
      </c>
    </row>
    <row r="2" spans="1:9" x14ac:dyDescent="0.3">
      <c r="A2" s="3" t="s">
        <v>6</v>
      </c>
      <c r="B2">
        <v>0.9</v>
      </c>
      <c r="C2" s="45">
        <v>13</v>
      </c>
      <c r="D2" s="87">
        <v>5.9999999999999995E-4</v>
      </c>
      <c r="E2" s="87">
        <v>50</v>
      </c>
      <c r="F2" s="87">
        <v>0.25</v>
      </c>
      <c r="G2" s="87">
        <v>22.5</v>
      </c>
      <c r="H2" s="87" t="s">
        <v>12</v>
      </c>
      <c r="I2" s="34">
        <v>4000000</v>
      </c>
    </row>
    <row r="3" spans="1:9" x14ac:dyDescent="0.3">
      <c r="A3" s="3" t="s">
        <v>7</v>
      </c>
      <c r="B3">
        <v>1.8</v>
      </c>
      <c r="C3" s="45">
        <v>25</v>
      </c>
      <c r="D3" s="87">
        <v>8.9999999999999998E-4</v>
      </c>
      <c r="E3" s="87">
        <v>50</v>
      </c>
      <c r="F3" s="87">
        <v>0.28000000000000003</v>
      </c>
      <c r="G3" s="87">
        <v>41.9</v>
      </c>
      <c r="H3" s="87" t="s">
        <v>12</v>
      </c>
      <c r="I3" s="34">
        <v>5500000</v>
      </c>
    </row>
    <row r="4" spans="1:9" x14ac:dyDescent="0.3">
      <c r="A4" s="3" t="s">
        <v>8</v>
      </c>
      <c r="B4">
        <v>0.6</v>
      </c>
      <c r="C4" s="45">
        <v>75</v>
      </c>
      <c r="D4" s="87">
        <v>1.8E-3</v>
      </c>
      <c r="E4" s="87">
        <v>50</v>
      </c>
      <c r="F4" s="87">
        <v>0.37</v>
      </c>
      <c r="G4" s="87">
        <v>19.5</v>
      </c>
      <c r="H4" s="87" t="s">
        <v>12</v>
      </c>
      <c r="I4" s="34">
        <v>2500000</v>
      </c>
    </row>
    <row r="5" spans="1:9" x14ac:dyDescent="0.3">
      <c r="A5" s="3" t="s">
        <v>9</v>
      </c>
      <c r="B5">
        <v>0.9</v>
      </c>
      <c r="C5" s="45">
        <v>90</v>
      </c>
      <c r="D5" s="87">
        <v>1.8E-3</v>
      </c>
      <c r="E5" s="87">
        <v>30</v>
      </c>
      <c r="F5" s="87">
        <v>0.28999999999999998</v>
      </c>
      <c r="G5" s="87">
        <v>14.7</v>
      </c>
      <c r="H5" s="87" t="s">
        <v>12</v>
      </c>
      <c r="I5" s="34">
        <v>8000000</v>
      </c>
    </row>
    <row r="6" spans="1:9" ht="15" thickBot="1" x14ac:dyDescent="0.35">
      <c r="A6" s="3" t="s">
        <v>10</v>
      </c>
      <c r="B6">
        <v>2</v>
      </c>
      <c r="C6" s="57">
        <v>50</v>
      </c>
      <c r="D6" s="36">
        <v>2.5000000000000001E-3</v>
      </c>
      <c r="E6" s="36">
        <v>30</v>
      </c>
      <c r="F6" s="36">
        <v>0.34</v>
      </c>
      <c r="G6" s="36">
        <v>70</v>
      </c>
      <c r="H6" s="36" t="s">
        <v>13</v>
      </c>
      <c r="I6" s="52">
        <v>6000000</v>
      </c>
    </row>
    <row r="7" spans="1:9" x14ac:dyDescent="0.3">
      <c r="A7" s="3" t="s">
        <v>11</v>
      </c>
    </row>
    <row r="8" spans="1:9" ht="15" thickBot="1" x14ac:dyDescent="0.35"/>
    <row r="9" spans="1:9" x14ac:dyDescent="0.3">
      <c r="B9" s="3" t="s">
        <v>63</v>
      </c>
      <c r="C9" s="58" t="s">
        <v>65</v>
      </c>
      <c r="D9" s="38" t="s">
        <v>92</v>
      </c>
      <c r="E9" s="38" t="s">
        <v>73</v>
      </c>
      <c r="F9" s="38" t="s">
        <v>72</v>
      </c>
      <c r="G9" s="39" t="s">
        <v>94</v>
      </c>
      <c r="H9" s="86">
        <v>220</v>
      </c>
    </row>
    <row r="10" spans="1:9" x14ac:dyDescent="0.3">
      <c r="A10" s="3" t="s">
        <v>6</v>
      </c>
      <c r="B10">
        <f>I2/G2/$H$9</f>
        <v>808.08080808080808</v>
      </c>
      <c r="C10" s="45">
        <f>ROUNDUP(B10/10,0)</f>
        <v>81</v>
      </c>
      <c r="D10" s="87">
        <f>B2*F2</f>
        <v>0.22500000000000001</v>
      </c>
      <c r="E10" s="87">
        <f>C10/4*D10</f>
        <v>4.5562500000000004</v>
      </c>
      <c r="F10" s="87">
        <f>E10*7</f>
        <v>31.893750000000004</v>
      </c>
      <c r="G10" s="34">
        <f>C10/16</f>
        <v>5.0625</v>
      </c>
    </row>
    <row r="11" spans="1:9" x14ac:dyDescent="0.3">
      <c r="A11" s="3" t="s">
        <v>7</v>
      </c>
      <c r="B11">
        <f>I3/G3/$H$9</f>
        <v>596.65871121718374</v>
      </c>
      <c r="C11" s="45">
        <f t="shared" ref="C11:C14" si="0">ROUNDUP(B11/10,0)</f>
        <v>60</v>
      </c>
      <c r="D11" s="87">
        <f t="shared" ref="D11:D14" si="1">B3*F3</f>
        <v>0.50400000000000011</v>
      </c>
      <c r="E11" s="87">
        <f t="shared" ref="E10:E12" si="2">C11/4*D11</f>
        <v>7.5600000000000014</v>
      </c>
      <c r="F11" s="87">
        <f t="shared" ref="F11:F14" si="3">E11*7</f>
        <v>52.920000000000009</v>
      </c>
      <c r="G11" s="34">
        <f t="shared" ref="G11:G23" si="4">C11/16</f>
        <v>3.75</v>
      </c>
    </row>
    <row r="12" spans="1:9" x14ac:dyDescent="0.3">
      <c r="A12" s="3" t="s">
        <v>8</v>
      </c>
      <c r="B12">
        <f>I4/G4/$H$9</f>
        <v>582.75058275058279</v>
      </c>
      <c r="C12" s="45">
        <f t="shared" si="0"/>
        <v>59</v>
      </c>
      <c r="D12" s="87">
        <f t="shared" si="1"/>
        <v>0.222</v>
      </c>
      <c r="E12" s="87">
        <f t="shared" si="2"/>
        <v>3.2745000000000002</v>
      </c>
      <c r="F12" s="87">
        <f t="shared" si="3"/>
        <v>22.921500000000002</v>
      </c>
      <c r="G12" s="34">
        <f>C12/16</f>
        <v>3.6875</v>
      </c>
    </row>
    <row r="13" spans="1:9" x14ac:dyDescent="0.3">
      <c r="A13" s="3" t="s">
        <v>9</v>
      </c>
      <c r="B13">
        <f>I5/G5/$H$9</f>
        <v>2473.7167594310454</v>
      </c>
      <c r="C13" s="45">
        <f t="shared" si="0"/>
        <v>248</v>
      </c>
      <c r="D13" s="87">
        <f t="shared" si="1"/>
        <v>0.26100000000000001</v>
      </c>
      <c r="E13" s="87">
        <f>C13/4*D13</f>
        <v>16.182000000000002</v>
      </c>
      <c r="F13" s="87">
        <f t="shared" si="3"/>
        <v>113.27400000000002</v>
      </c>
      <c r="G13" s="34">
        <f t="shared" si="4"/>
        <v>15.5</v>
      </c>
    </row>
    <row r="14" spans="1:9" x14ac:dyDescent="0.3">
      <c r="A14" s="3" t="s">
        <v>10</v>
      </c>
      <c r="B14">
        <f>I6/G6/$H$9</f>
        <v>389.61038961038957</v>
      </c>
      <c r="C14" s="45">
        <f t="shared" si="0"/>
        <v>39</v>
      </c>
      <c r="D14" s="87">
        <f t="shared" si="1"/>
        <v>0.68</v>
      </c>
      <c r="E14" s="87">
        <f>C14/4*D14</f>
        <v>6.6300000000000008</v>
      </c>
      <c r="F14" s="87">
        <f t="shared" si="3"/>
        <v>46.410000000000004</v>
      </c>
      <c r="G14" s="34">
        <f t="shared" si="4"/>
        <v>2.4375</v>
      </c>
    </row>
    <row r="15" spans="1:9" ht="15" thickBot="1" x14ac:dyDescent="0.35">
      <c r="A15" s="3" t="s">
        <v>11</v>
      </c>
      <c r="B15" s="3">
        <f>SUM(B10:B14)</f>
        <v>4850.8172510900094</v>
      </c>
      <c r="C15" s="35">
        <f>SUM(C10:C14)</f>
        <v>487</v>
      </c>
      <c r="D15" s="88">
        <f>SUM(D10:D14)</f>
        <v>1.8920000000000003</v>
      </c>
      <c r="E15" s="88">
        <f>SUM(E10:E14)</f>
        <v>38.202750000000002</v>
      </c>
      <c r="F15" s="88">
        <f t="shared" ref="F15" si="5">SUM(F10:F14)</f>
        <v>267.41925000000003</v>
      </c>
      <c r="G15" s="59">
        <f t="shared" si="4"/>
        <v>30.4375</v>
      </c>
    </row>
    <row r="16" spans="1:9" ht="15" thickBot="1" x14ac:dyDescent="0.35"/>
    <row r="17" spans="1:7" x14ac:dyDescent="0.3">
      <c r="B17" s="3" t="s">
        <v>63</v>
      </c>
      <c r="C17" s="58" t="s">
        <v>87</v>
      </c>
      <c r="D17" s="38" t="str">
        <f>D9</f>
        <v>Area needed for one roll</v>
      </c>
      <c r="E17" s="38" t="s">
        <v>73</v>
      </c>
      <c r="F17" s="38" t="s">
        <v>72</v>
      </c>
      <c r="G17" s="39" t="s">
        <v>94</v>
      </c>
    </row>
    <row r="18" spans="1:7" x14ac:dyDescent="0.3">
      <c r="A18" s="3" t="s">
        <v>6</v>
      </c>
      <c r="B18">
        <f>B10</f>
        <v>808.08080808080808</v>
      </c>
      <c r="C18" s="45">
        <f>ROUNDUP(B18*0.9,0)</f>
        <v>728</v>
      </c>
      <c r="D18" s="87">
        <f t="shared" ref="D18:D23" si="6">D10</f>
        <v>0.22500000000000001</v>
      </c>
      <c r="E18" s="87">
        <f>C18/4*D18</f>
        <v>40.950000000000003</v>
      </c>
      <c r="F18" s="87">
        <f>E18*2</f>
        <v>81.900000000000006</v>
      </c>
      <c r="G18" s="34">
        <f>C18/16/4</f>
        <v>11.375</v>
      </c>
    </row>
    <row r="19" spans="1:7" x14ac:dyDescent="0.3">
      <c r="A19" s="3" t="s">
        <v>7</v>
      </c>
      <c r="B19">
        <f t="shared" ref="B19:B23" si="7">B11</f>
        <v>596.65871121718374</v>
      </c>
      <c r="C19" s="45">
        <f t="shared" ref="C19:C23" si="8">ROUNDUP(B19*0.9,0)</f>
        <v>537</v>
      </c>
      <c r="D19" s="87">
        <f t="shared" si="6"/>
        <v>0.50400000000000011</v>
      </c>
      <c r="E19" s="87">
        <f t="shared" ref="E19:E22" si="9">C19/4*D19</f>
        <v>67.66200000000002</v>
      </c>
      <c r="F19" s="87">
        <f t="shared" ref="F19:F22" si="10">E19*2</f>
        <v>135.32400000000004</v>
      </c>
      <c r="G19" s="34">
        <f t="shared" ref="G19:G22" si="11">C19/16/4</f>
        <v>8.390625</v>
      </c>
    </row>
    <row r="20" spans="1:7" x14ac:dyDescent="0.3">
      <c r="A20" s="3" t="s">
        <v>8</v>
      </c>
      <c r="B20">
        <f t="shared" si="7"/>
        <v>582.75058275058279</v>
      </c>
      <c r="C20" s="45">
        <f t="shared" si="8"/>
        <v>525</v>
      </c>
      <c r="D20" s="87">
        <f t="shared" si="6"/>
        <v>0.222</v>
      </c>
      <c r="E20" s="87">
        <f t="shared" si="9"/>
        <v>29.137499999999999</v>
      </c>
      <c r="F20" s="87">
        <f t="shared" si="10"/>
        <v>58.274999999999999</v>
      </c>
      <c r="G20" s="34">
        <f t="shared" si="11"/>
        <v>8.203125</v>
      </c>
    </row>
    <row r="21" spans="1:7" x14ac:dyDescent="0.3">
      <c r="A21" s="3" t="s">
        <v>9</v>
      </c>
      <c r="B21">
        <f t="shared" si="7"/>
        <v>2473.7167594310454</v>
      </c>
      <c r="C21" s="45">
        <f t="shared" si="8"/>
        <v>2227</v>
      </c>
      <c r="D21" s="87">
        <f t="shared" si="6"/>
        <v>0.26100000000000001</v>
      </c>
      <c r="E21" s="87">
        <f t="shared" si="9"/>
        <v>145.31175000000002</v>
      </c>
      <c r="F21" s="87">
        <f t="shared" si="10"/>
        <v>290.62350000000004</v>
      </c>
      <c r="G21" s="34">
        <f t="shared" si="11"/>
        <v>34.796875</v>
      </c>
    </row>
    <row r="22" spans="1:7" x14ac:dyDescent="0.3">
      <c r="A22" s="3" t="s">
        <v>10</v>
      </c>
      <c r="B22">
        <f t="shared" si="7"/>
        <v>389.61038961038957</v>
      </c>
      <c r="C22" s="45">
        <f t="shared" si="8"/>
        <v>351</v>
      </c>
      <c r="D22" s="87">
        <f t="shared" si="6"/>
        <v>0.68</v>
      </c>
      <c r="E22" s="87">
        <f t="shared" si="9"/>
        <v>59.67</v>
      </c>
      <c r="F22" s="87">
        <f t="shared" si="10"/>
        <v>119.34</v>
      </c>
      <c r="G22" s="34">
        <f t="shared" si="11"/>
        <v>5.484375</v>
      </c>
    </row>
    <row r="23" spans="1:7" ht="15" thickBot="1" x14ac:dyDescent="0.35">
      <c r="A23" s="3" t="s">
        <v>11</v>
      </c>
      <c r="B23" s="3">
        <f t="shared" si="7"/>
        <v>4850.8172510900094</v>
      </c>
      <c r="C23" s="35">
        <f t="shared" si="8"/>
        <v>4366</v>
      </c>
      <c r="D23" s="88">
        <f t="shared" si="6"/>
        <v>1.8920000000000003</v>
      </c>
      <c r="E23" s="88">
        <f>SUM(E18:E22)</f>
        <v>342.73125000000005</v>
      </c>
      <c r="F23" s="88">
        <f>SUM(F18:F22)</f>
        <v>685.46250000000009</v>
      </c>
      <c r="G23" s="59">
        <f t="shared" si="4"/>
        <v>272.875</v>
      </c>
    </row>
    <row r="24" spans="1:7" x14ac:dyDescent="0.3">
      <c r="B24" s="3"/>
      <c r="C24" s="3"/>
      <c r="D24" s="3"/>
      <c r="E24" s="3"/>
      <c r="F24" s="3"/>
    </row>
  </sheetData>
  <pageMargins left="0.7" right="0.7" top="0.75" bottom="0.75" header="0.3" footer="0.3"/>
  <pageSetup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37CE-EEFD-46FA-AF6F-9438E7A5B9E8}">
  <dimension ref="A1"/>
  <sheetViews>
    <sheetView workbookViewId="0"/>
  </sheetViews>
  <sheetFormatPr defaultRowHeight="14.4" x14ac:dyDescent="0.3"/>
  <sheetData>
    <row r="1" spans="1:1" x14ac:dyDescent="0.3">
      <c r="A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44CD-036E-40E3-93D4-3FC9BEB12EEC}">
  <dimension ref="A1:K51"/>
  <sheetViews>
    <sheetView workbookViewId="0">
      <selection sqref="A1:XFD1048576"/>
    </sheetView>
  </sheetViews>
  <sheetFormatPr defaultRowHeight="14.4" x14ac:dyDescent="0.3"/>
  <cols>
    <col min="1" max="1" width="35.88671875" bestFit="1" customWidth="1"/>
    <col min="2" max="2" width="22.33203125" customWidth="1"/>
    <col min="3" max="3" width="20" customWidth="1"/>
    <col min="4" max="4" width="23.77734375" bestFit="1" customWidth="1"/>
    <col min="5" max="5" width="21.109375" customWidth="1"/>
    <col min="6" max="6" width="21.44140625" customWidth="1"/>
    <col min="7" max="7" width="19.5546875" bestFit="1" customWidth="1"/>
    <col min="8" max="8" width="24.109375" bestFit="1" customWidth="1"/>
    <col min="9" max="9" width="12.5546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17" t="s">
        <v>24</v>
      </c>
      <c r="E1" s="2" t="s">
        <v>3</v>
      </c>
      <c r="F1" s="17" t="s">
        <v>4</v>
      </c>
      <c r="G1" s="2" t="s">
        <v>5</v>
      </c>
      <c r="H1" s="24" t="s">
        <v>74</v>
      </c>
      <c r="I1" s="1"/>
    </row>
    <row r="2" spans="1:11" x14ac:dyDescent="0.3">
      <c r="A2" s="3" t="s">
        <v>6</v>
      </c>
      <c r="B2">
        <v>0.9</v>
      </c>
      <c r="C2">
        <v>13</v>
      </c>
      <c r="D2" s="18">
        <v>5.9999999999999995E-4</v>
      </c>
      <c r="E2">
        <v>50</v>
      </c>
      <c r="F2" s="18">
        <v>22.5</v>
      </c>
      <c r="G2" t="s">
        <v>12</v>
      </c>
      <c r="H2" s="18">
        <v>4000</v>
      </c>
    </row>
    <row r="3" spans="1:11" x14ac:dyDescent="0.3">
      <c r="A3" s="3" t="s">
        <v>7</v>
      </c>
      <c r="B3">
        <v>1.8</v>
      </c>
      <c r="C3">
        <v>25</v>
      </c>
      <c r="D3" s="18">
        <v>8.9999999999999998E-4</v>
      </c>
      <c r="E3">
        <v>50</v>
      </c>
      <c r="F3" s="18">
        <v>41.9</v>
      </c>
      <c r="G3" t="s">
        <v>12</v>
      </c>
      <c r="H3" s="18">
        <v>5500</v>
      </c>
    </row>
    <row r="4" spans="1:11" x14ac:dyDescent="0.3">
      <c r="A4" s="3" t="s">
        <v>8</v>
      </c>
      <c r="B4">
        <v>0.6</v>
      </c>
      <c r="C4">
        <v>75</v>
      </c>
      <c r="D4" s="18">
        <v>1.8E-3</v>
      </c>
      <c r="E4">
        <v>50</v>
      </c>
      <c r="F4" s="18">
        <v>19.5</v>
      </c>
      <c r="G4" t="s">
        <v>12</v>
      </c>
      <c r="H4" s="18">
        <v>2500</v>
      </c>
    </row>
    <row r="5" spans="1:11" x14ac:dyDescent="0.3">
      <c r="A5" s="3" t="s">
        <v>9</v>
      </c>
      <c r="B5">
        <v>0.9</v>
      </c>
      <c r="C5">
        <v>90</v>
      </c>
      <c r="D5" s="18">
        <v>1.8E-3</v>
      </c>
      <c r="E5">
        <v>30</v>
      </c>
      <c r="F5" s="18">
        <v>14.7</v>
      </c>
      <c r="G5" t="s">
        <v>12</v>
      </c>
      <c r="H5" s="18">
        <v>8000</v>
      </c>
    </row>
    <row r="6" spans="1:11" x14ac:dyDescent="0.3">
      <c r="A6" s="3" t="s">
        <v>10</v>
      </c>
      <c r="B6">
        <v>2</v>
      </c>
      <c r="C6">
        <v>50</v>
      </c>
      <c r="D6" s="18">
        <v>2.5000000000000001E-3</v>
      </c>
      <c r="E6">
        <v>30</v>
      </c>
      <c r="F6" s="18">
        <v>70</v>
      </c>
      <c r="G6" t="s">
        <v>13</v>
      </c>
      <c r="H6" s="18">
        <v>6000</v>
      </c>
    </row>
    <row r="7" spans="1:11" x14ac:dyDescent="0.3">
      <c r="A7" s="3" t="s">
        <v>11</v>
      </c>
      <c r="H7" s="18">
        <f>SUM(H2:H6)</f>
        <v>26000</v>
      </c>
      <c r="J7">
        <f>H7*1000/220</f>
        <v>118181.81818181818</v>
      </c>
    </row>
    <row r="9" spans="1:11" x14ac:dyDescent="0.3">
      <c r="B9" s="3"/>
    </row>
    <row r="10" spans="1:11" x14ac:dyDescent="0.3">
      <c r="A10" s="3" t="s">
        <v>14</v>
      </c>
      <c r="B10" s="9">
        <v>2500</v>
      </c>
      <c r="C10" s="4"/>
      <c r="F10" t="s">
        <v>15</v>
      </c>
    </row>
    <row r="12" spans="1:11" x14ac:dyDescent="0.3">
      <c r="A12" s="3" t="s">
        <v>16</v>
      </c>
      <c r="B12">
        <v>7000</v>
      </c>
      <c r="C12" s="3" t="s">
        <v>23</v>
      </c>
      <c r="D12">
        <v>5.0000000000000001E-3</v>
      </c>
    </row>
    <row r="13" spans="1:11" x14ac:dyDescent="0.3">
      <c r="A13" s="3"/>
      <c r="C13" s="3"/>
    </row>
    <row r="14" spans="1:11" x14ac:dyDescent="0.3">
      <c r="B14" s="19" t="s">
        <v>18</v>
      </c>
      <c r="C14" s="19" t="s">
        <v>17</v>
      </c>
      <c r="D14" s="19" t="s">
        <v>25</v>
      </c>
      <c r="E14" s="19" t="s">
        <v>26</v>
      </c>
      <c r="F14" s="3" t="s">
        <v>27</v>
      </c>
      <c r="G14" s="19" t="s">
        <v>19</v>
      </c>
      <c r="I14">
        <f>F25</f>
        <v>3682659.9326599333</v>
      </c>
      <c r="J14" s="7">
        <f>C15</f>
        <v>5.1428571428571417E-3</v>
      </c>
      <c r="K14">
        <f>I14*J14</f>
        <v>18939.39393939394</v>
      </c>
    </row>
    <row r="15" spans="1:11" x14ac:dyDescent="0.3">
      <c r="A15" s="3" t="s">
        <v>6</v>
      </c>
      <c r="B15" s="20">
        <f>((($D$12/2)^2)*$B$12)/((D2/2)^2)</f>
        <v>486111.11111111124</v>
      </c>
      <c r="C15" s="22">
        <f>$B$10/B15</f>
        <v>5.1428571428571417E-3</v>
      </c>
      <c r="D15" s="20">
        <f>F2/C15</f>
        <v>4375.0000000000009</v>
      </c>
      <c r="E15" s="20">
        <f>H2*1000/F2</f>
        <v>177777.77777777778</v>
      </c>
      <c r="F15">
        <f>D15*E15</f>
        <v>777777777.77777791</v>
      </c>
      <c r="G15" s="18">
        <f>F15/1000</f>
        <v>777777.77777777787</v>
      </c>
      <c r="I15">
        <f t="shared" ref="I15:I18" si="0">F26</f>
        <v>2250514.4032921814</v>
      </c>
      <c r="J15" s="7">
        <f t="shared" ref="J15:J18" si="1">C16</f>
        <v>1.1571428571428569E-2</v>
      </c>
      <c r="K15">
        <f t="shared" ref="K15:K18" si="2">I15*J15</f>
        <v>26041.666666666668</v>
      </c>
    </row>
    <row r="16" spans="1:11" x14ac:dyDescent="0.3">
      <c r="A16" s="3" t="s">
        <v>7</v>
      </c>
      <c r="B16" s="20">
        <f>((($D$12/2)^2)*$B$12)/((D3/2)^2)</f>
        <v>216049.38271604941</v>
      </c>
      <c r="C16" s="22">
        <f>$B$10/B16</f>
        <v>1.1571428571428569E-2</v>
      </c>
      <c r="D16" s="20">
        <f>F3/C16</f>
        <v>3620.987654320988</v>
      </c>
      <c r="E16" s="20">
        <f>H3*1000/F3</f>
        <v>131264.91646778042</v>
      </c>
      <c r="F16">
        <f t="shared" ref="F16:F19" si="3">D16*E16</f>
        <v>475308641.97530866</v>
      </c>
      <c r="G16" s="18">
        <f t="shared" ref="G16:G19" si="4">F16/1000</f>
        <v>475308.64197530865</v>
      </c>
      <c r="I16">
        <f t="shared" si="0"/>
        <v>255740.27310138426</v>
      </c>
      <c r="J16" s="7">
        <f t="shared" si="1"/>
        <v>4.6285714285714277E-2</v>
      </c>
      <c r="K16">
        <f t="shared" si="2"/>
        <v>11837.121212121212</v>
      </c>
    </row>
    <row r="17" spans="1:11" x14ac:dyDescent="0.3">
      <c r="A17" s="3" t="s">
        <v>8</v>
      </c>
      <c r="B17" s="20">
        <f>((($D$12/2)^2)*$B$12)/((D4/2)^2)</f>
        <v>54012.345679012353</v>
      </c>
      <c r="C17" s="22">
        <f>$B$10/B17</f>
        <v>4.6285714285714277E-2</v>
      </c>
      <c r="D17" s="20">
        <f>F4/C17</f>
        <v>421.29629629629636</v>
      </c>
      <c r="E17" s="20">
        <f>H4*1000/F4</f>
        <v>128205.1282051282</v>
      </c>
      <c r="F17">
        <f t="shared" si="3"/>
        <v>54012345.679012351</v>
      </c>
      <c r="G17" s="18">
        <f t="shared" si="4"/>
        <v>54012.345679012353</v>
      </c>
      <c r="I17">
        <f t="shared" si="0"/>
        <v>818368.87392442953</v>
      </c>
      <c r="J17" s="7">
        <f t="shared" si="1"/>
        <v>4.6285714285714277E-2</v>
      </c>
      <c r="K17">
        <f t="shared" si="2"/>
        <v>37878.787878787873</v>
      </c>
    </row>
    <row r="18" spans="1:11" x14ac:dyDescent="0.3">
      <c r="A18" s="3" t="s">
        <v>9</v>
      </c>
      <c r="B18" s="20">
        <f>((($D$12/2)^2)*$B$12)/((D5/2)^2)</f>
        <v>54012.345679012353</v>
      </c>
      <c r="C18" s="22">
        <f>$B$10/B18</f>
        <v>4.6285714285714277E-2</v>
      </c>
      <c r="D18" s="20">
        <f>F5/C18</f>
        <v>317.59259259259261</v>
      </c>
      <c r="E18" s="20">
        <f>H5*1000/F5</f>
        <v>544217.68707482994</v>
      </c>
      <c r="F18">
        <f t="shared" si="3"/>
        <v>172839506.17283952</v>
      </c>
      <c r="G18" s="18">
        <f t="shared" si="4"/>
        <v>172839.50617283952</v>
      </c>
      <c r="I18">
        <f t="shared" si="0"/>
        <v>318181.81818181823</v>
      </c>
      <c r="J18" s="7">
        <f t="shared" si="1"/>
        <v>8.9285714285714288E-2</v>
      </c>
      <c r="K18">
        <f t="shared" si="2"/>
        <v>28409.090909090915</v>
      </c>
    </row>
    <row r="19" spans="1:11" x14ac:dyDescent="0.3">
      <c r="A19" s="3" t="s">
        <v>10</v>
      </c>
      <c r="B19" s="20">
        <f>((($D$12/2)^2)*$B$12)/((D6/2)^2)</f>
        <v>28000</v>
      </c>
      <c r="C19" s="22">
        <f>$B$10/B19</f>
        <v>8.9285714285714288E-2</v>
      </c>
      <c r="D19" s="20">
        <f>F6/C19</f>
        <v>784</v>
      </c>
      <c r="E19" s="20">
        <f>H6*1000/F6</f>
        <v>85714.28571428571</v>
      </c>
      <c r="F19">
        <f t="shared" si="3"/>
        <v>67200000</v>
      </c>
      <c r="G19" s="18">
        <f t="shared" si="4"/>
        <v>67200</v>
      </c>
      <c r="K19">
        <f>SUM(K14:K18)</f>
        <v>123106.06060606061</v>
      </c>
    </row>
    <row r="20" spans="1:11" x14ac:dyDescent="0.3">
      <c r="A20" s="5" t="s">
        <v>20</v>
      </c>
      <c r="B20" s="21">
        <f t="shared" ref="B20:D20" si="5">SUM(B15:B19)</f>
        <v>838185.1851851854</v>
      </c>
      <c r="C20" s="23">
        <f t="shared" si="5"/>
        <v>0.19857142857142857</v>
      </c>
      <c r="D20" s="21">
        <f t="shared" si="5"/>
        <v>9518.8765432098771</v>
      </c>
      <c r="E20" s="21">
        <f>SUM(E15:E19)</f>
        <v>1067179.795239802</v>
      </c>
      <c r="F20" s="6">
        <f>SUM(F15:F19)</f>
        <v>1547138271.6049385</v>
      </c>
      <c r="G20" s="21">
        <f>SUM(G15:G19)</f>
        <v>1547138.2716049384</v>
      </c>
    </row>
    <row r="21" spans="1:11" x14ac:dyDescent="0.3">
      <c r="A21" s="3"/>
      <c r="B21" s="4"/>
    </row>
    <row r="22" spans="1:11" x14ac:dyDescent="0.3">
      <c r="A22" s="3" t="s">
        <v>30</v>
      </c>
      <c r="B22" s="9">
        <v>220</v>
      </c>
    </row>
    <row r="23" spans="1:11" x14ac:dyDescent="0.3">
      <c r="B23" s="76" t="s">
        <v>29</v>
      </c>
      <c r="C23" s="76"/>
      <c r="D23" s="76" t="s">
        <v>28</v>
      </c>
      <c r="E23" s="76"/>
      <c r="F23" s="77" t="s">
        <v>50</v>
      </c>
      <c r="G23" s="77"/>
      <c r="H23" s="76" t="s">
        <v>51</v>
      </c>
      <c r="I23" s="76"/>
    </row>
    <row r="24" spans="1:11" x14ac:dyDescent="0.3">
      <c r="B24" s="3" t="s">
        <v>21</v>
      </c>
      <c r="C24" s="3" t="s">
        <v>22</v>
      </c>
      <c r="D24" s="3" t="s">
        <v>21</v>
      </c>
      <c r="E24" s="3" t="s">
        <v>22</v>
      </c>
      <c r="F24" s="3" t="s">
        <v>21</v>
      </c>
      <c r="G24" s="19" t="s">
        <v>22</v>
      </c>
      <c r="H24" s="3" t="s">
        <v>21</v>
      </c>
      <c r="I24" s="3" t="s">
        <v>22</v>
      </c>
    </row>
    <row r="25" spans="1:11" x14ac:dyDescent="0.3">
      <c r="A25" s="3" t="s">
        <v>6</v>
      </c>
      <c r="B25">
        <f>F15/$B$22</f>
        <v>3535353.5353535358</v>
      </c>
      <c r="C25">
        <f>B25/1000</f>
        <v>3535.3535353535358</v>
      </c>
      <c r="D25">
        <f>(((D2/2)^2)*B25)/(($D$12/2)^2)</f>
        <v>50909.090909090904</v>
      </c>
      <c r="E25">
        <f>D25/1000</f>
        <v>50.909090909090907</v>
      </c>
      <c r="F25">
        <f>B25/0.96</f>
        <v>3682659.9326599333</v>
      </c>
      <c r="G25" s="18">
        <f>F25/1000</f>
        <v>3682.6599326599335</v>
      </c>
      <c r="H25">
        <f>D25/0.96</f>
        <v>53030.303030303025</v>
      </c>
      <c r="I25">
        <f>H25/1000</f>
        <v>53.030303030303024</v>
      </c>
    </row>
    <row r="26" spans="1:11" x14ac:dyDescent="0.3">
      <c r="A26" s="3" t="s">
        <v>7</v>
      </c>
      <c r="B26">
        <f>F16/$B$22</f>
        <v>2160493.8271604939</v>
      </c>
      <c r="C26">
        <f t="shared" ref="C26:C29" si="6">B26/1000</f>
        <v>2160.4938271604938</v>
      </c>
      <c r="D26">
        <f>(((D3/2)^2)*B26)/(($D$12/2)^2)</f>
        <v>70000</v>
      </c>
      <c r="E26">
        <f t="shared" ref="E26:E29" si="7">D26/1000</f>
        <v>70</v>
      </c>
      <c r="F26">
        <f t="shared" ref="F26:F29" si="8">B26/0.96</f>
        <v>2250514.4032921814</v>
      </c>
      <c r="G26" s="18">
        <f t="shared" ref="G26:G29" si="9">F26/1000</f>
        <v>2250.5144032921812</v>
      </c>
      <c r="H26">
        <f t="shared" ref="H26:H29" si="10">D26/0.96</f>
        <v>72916.666666666672</v>
      </c>
      <c r="I26">
        <f t="shared" ref="I26:I29" si="11">H26/1000</f>
        <v>72.916666666666671</v>
      </c>
    </row>
    <row r="27" spans="1:11" x14ac:dyDescent="0.3">
      <c r="A27" s="3" t="s">
        <v>8</v>
      </c>
      <c r="B27">
        <f>F17/$B$22</f>
        <v>245510.66217732886</v>
      </c>
      <c r="C27">
        <f t="shared" si="6"/>
        <v>245.51066217732887</v>
      </c>
      <c r="D27">
        <f>(((D4/2)^2)*B27)/(($D$12/2)^2)</f>
        <v>31818.18181818182</v>
      </c>
      <c r="E27">
        <f t="shared" si="7"/>
        <v>31.81818181818182</v>
      </c>
      <c r="F27">
        <f t="shared" si="8"/>
        <v>255740.27310138426</v>
      </c>
      <c r="G27" s="18">
        <f t="shared" si="9"/>
        <v>255.74027310138425</v>
      </c>
      <c r="H27">
        <f t="shared" si="10"/>
        <v>33143.939393939399</v>
      </c>
      <c r="I27">
        <f t="shared" si="11"/>
        <v>33.143939393939398</v>
      </c>
    </row>
    <row r="28" spans="1:11" x14ac:dyDescent="0.3">
      <c r="A28" s="3" t="s">
        <v>9</v>
      </c>
      <c r="B28">
        <f>F18/$B$22</f>
        <v>785634.11896745232</v>
      </c>
      <c r="C28">
        <f t="shared" si="6"/>
        <v>785.63411896745231</v>
      </c>
      <c r="D28">
        <f>(((D5/2)^2)*B28)/(($D$12/2)^2)</f>
        <v>101818.18181818181</v>
      </c>
      <c r="E28">
        <f t="shared" si="7"/>
        <v>101.81818181818181</v>
      </c>
      <c r="F28">
        <f t="shared" si="8"/>
        <v>818368.87392442953</v>
      </c>
      <c r="G28" s="18">
        <f t="shared" si="9"/>
        <v>818.36887392442952</v>
      </c>
      <c r="H28">
        <f t="shared" si="10"/>
        <v>106060.60606060605</v>
      </c>
      <c r="I28">
        <f t="shared" si="11"/>
        <v>106.06060606060605</v>
      </c>
    </row>
    <row r="29" spans="1:11" x14ac:dyDescent="0.3">
      <c r="A29" s="3" t="s">
        <v>10</v>
      </c>
      <c r="B29">
        <f>F19/$B$22</f>
        <v>305454.54545454547</v>
      </c>
      <c r="C29">
        <f t="shared" si="6"/>
        <v>305.4545454545455</v>
      </c>
      <c r="D29">
        <f>(((D6/2)^2)*B29)/(($D$12/2)^2)</f>
        <v>76363.636363636368</v>
      </c>
      <c r="E29">
        <f t="shared" si="7"/>
        <v>76.363636363636374</v>
      </c>
      <c r="F29">
        <f t="shared" si="8"/>
        <v>318181.81818181823</v>
      </c>
      <c r="G29" s="18">
        <f t="shared" si="9"/>
        <v>318.18181818181824</v>
      </c>
      <c r="H29">
        <f t="shared" si="10"/>
        <v>79545.454545454559</v>
      </c>
      <c r="I29">
        <f t="shared" si="11"/>
        <v>79.545454545454561</v>
      </c>
    </row>
    <row r="30" spans="1:11" x14ac:dyDescent="0.3">
      <c r="A30" s="5" t="s">
        <v>20</v>
      </c>
      <c r="B30" s="8">
        <f>SUM(B25:B29)</f>
        <v>7032446.6891133571</v>
      </c>
      <c r="C30" s="8">
        <f t="shared" ref="C30:I30" si="12">SUM(C25:C29)</f>
        <v>7032.4466891133561</v>
      </c>
      <c r="D30" s="8">
        <f t="shared" si="12"/>
        <v>330909.09090909088</v>
      </c>
      <c r="E30" s="8">
        <f t="shared" si="12"/>
        <v>330.90909090909088</v>
      </c>
      <c r="F30" s="8">
        <f t="shared" si="12"/>
        <v>7325465.301159746</v>
      </c>
      <c r="G30" s="25">
        <f t="shared" si="12"/>
        <v>7325.4653011597475</v>
      </c>
      <c r="H30" s="8">
        <f t="shared" si="12"/>
        <v>344696.96969696973</v>
      </c>
      <c r="I30" s="8">
        <f t="shared" si="12"/>
        <v>344.69696969696969</v>
      </c>
    </row>
    <row r="32" spans="1:11" x14ac:dyDescent="0.3">
      <c r="B32" s="3" t="s">
        <v>55</v>
      </c>
      <c r="C32" s="3" t="s">
        <v>43</v>
      </c>
      <c r="D32" s="3" t="s">
        <v>60</v>
      </c>
      <c r="E32" s="3" t="s">
        <v>45</v>
      </c>
      <c r="F32" s="10" t="s">
        <v>44</v>
      </c>
      <c r="H32" s="3"/>
    </row>
    <row r="33" spans="1:8" x14ac:dyDescent="0.3">
      <c r="A33" s="3" t="s">
        <v>6</v>
      </c>
      <c r="B33">
        <f>F25</f>
        <v>3682659.9326599333</v>
      </c>
      <c r="C33">
        <v>15</v>
      </c>
      <c r="D33">
        <v>15</v>
      </c>
      <c r="E33">
        <f>C33*60*60*7</f>
        <v>378000</v>
      </c>
      <c r="F33">
        <f>ROUNDUP(B33/E33,0)*2</f>
        <v>20</v>
      </c>
    </row>
    <row r="34" spans="1:8" x14ac:dyDescent="0.3">
      <c r="A34" s="3" t="s">
        <v>7</v>
      </c>
      <c r="B34">
        <f t="shared" ref="B34:B37" si="13">F26</f>
        <v>2250514.4032921814</v>
      </c>
      <c r="C34">
        <v>15</v>
      </c>
      <c r="D34">
        <v>15</v>
      </c>
      <c r="E34">
        <f t="shared" ref="E34:E37" si="14">C34*60*60*7</f>
        <v>378000</v>
      </c>
      <c r="F34">
        <f>ROUNDUP(B34/E34,0)*2</f>
        <v>12</v>
      </c>
      <c r="H34">
        <f>F30*220</f>
        <v>1611602366.2551441</v>
      </c>
    </row>
    <row r="35" spans="1:8" x14ac:dyDescent="0.3">
      <c r="A35" s="3" t="s">
        <v>8</v>
      </c>
      <c r="B35">
        <f t="shared" si="13"/>
        <v>255740.27310138426</v>
      </c>
      <c r="C35">
        <v>20</v>
      </c>
      <c r="D35" t="s">
        <v>61</v>
      </c>
      <c r="E35">
        <f t="shared" si="14"/>
        <v>504000</v>
      </c>
      <c r="F35">
        <f>ROUNDUP(B35/E35,0)</f>
        <v>1</v>
      </c>
      <c r="H35">
        <f>H30*220</f>
        <v>75833333.333333343</v>
      </c>
    </row>
    <row r="36" spans="1:8" x14ac:dyDescent="0.3">
      <c r="A36" s="3" t="s">
        <v>9</v>
      </c>
      <c r="B36">
        <f t="shared" si="13"/>
        <v>818368.87392442953</v>
      </c>
      <c r="C36">
        <v>20</v>
      </c>
      <c r="D36" t="s">
        <v>61</v>
      </c>
      <c r="E36">
        <f t="shared" si="14"/>
        <v>504000</v>
      </c>
      <c r="F36">
        <f>ROUNDUP(B36/E36,0)</f>
        <v>2</v>
      </c>
    </row>
    <row r="37" spans="1:8" x14ac:dyDescent="0.3">
      <c r="A37" s="3" t="s">
        <v>10</v>
      </c>
      <c r="B37">
        <f t="shared" si="13"/>
        <v>318181.81818181823</v>
      </c>
      <c r="C37">
        <v>20</v>
      </c>
      <c r="D37" t="s">
        <v>61</v>
      </c>
      <c r="E37">
        <f t="shared" si="14"/>
        <v>504000</v>
      </c>
      <c r="F37">
        <f>ROUNDUP(B37/E37,0)</f>
        <v>1</v>
      </c>
    </row>
    <row r="38" spans="1:8" x14ac:dyDescent="0.3">
      <c r="A38" s="5" t="s">
        <v>20</v>
      </c>
      <c r="B38" s="8">
        <f>SUM(B33:B37)</f>
        <v>7325465.301159746</v>
      </c>
      <c r="C38" s="8">
        <f t="shared" ref="C38" si="15">SUM(C33:C37)</f>
        <v>90</v>
      </c>
      <c r="D38" s="8"/>
      <c r="E38" s="13">
        <f>SUM(E33:E37)</f>
        <v>2268000</v>
      </c>
      <c r="F38" s="8">
        <f>SUM(F33:F37)</f>
        <v>36</v>
      </c>
    </row>
    <row r="39" spans="1:8" x14ac:dyDescent="0.3">
      <c r="E39" s="14" t="s">
        <v>71</v>
      </c>
    </row>
    <row r="41" spans="1:8" x14ac:dyDescent="0.3">
      <c r="A41" s="3" t="s">
        <v>52</v>
      </c>
      <c r="B41">
        <f>H30/7000</f>
        <v>49.242424242424249</v>
      </c>
    </row>
    <row r="42" spans="1:8" x14ac:dyDescent="0.3">
      <c r="A42" s="3" t="s">
        <v>75</v>
      </c>
      <c r="B42">
        <f>B41*3</f>
        <v>147.72727272727275</v>
      </c>
    </row>
    <row r="46" spans="1:8" x14ac:dyDescent="0.3">
      <c r="B46" s="2" t="s">
        <v>1</v>
      </c>
      <c r="C46" s="2" t="s">
        <v>3</v>
      </c>
      <c r="D46" s="2" t="s">
        <v>79</v>
      </c>
    </row>
    <row r="47" spans="1:8" x14ac:dyDescent="0.3">
      <c r="A47" s="3" t="s">
        <v>6</v>
      </c>
      <c r="B47">
        <v>0.9</v>
      </c>
      <c r="C47">
        <v>50</v>
      </c>
      <c r="D47">
        <f>D2+0.0002</f>
        <v>7.9999999999999993E-4</v>
      </c>
    </row>
    <row r="48" spans="1:8" x14ac:dyDescent="0.3">
      <c r="A48" s="3" t="s">
        <v>7</v>
      </c>
      <c r="B48">
        <v>1.8</v>
      </c>
      <c r="C48">
        <v>50</v>
      </c>
      <c r="D48">
        <f t="shared" ref="D48:D51" si="16">D3+0.0002</f>
        <v>1.1000000000000001E-3</v>
      </c>
    </row>
    <row r="49" spans="1:4" x14ac:dyDescent="0.3">
      <c r="A49" s="3" t="s">
        <v>8</v>
      </c>
      <c r="B49">
        <v>0.6</v>
      </c>
      <c r="C49">
        <v>50</v>
      </c>
      <c r="D49">
        <f t="shared" si="16"/>
        <v>2E-3</v>
      </c>
    </row>
    <row r="50" spans="1:4" x14ac:dyDescent="0.3">
      <c r="A50" s="3" t="s">
        <v>9</v>
      </c>
      <c r="B50">
        <v>0.9</v>
      </c>
      <c r="C50">
        <v>30</v>
      </c>
      <c r="D50">
        <f t="shared" si="16"/>
        <v>2E-3</v>
      </c>
    </row>
    <row r="51" spans="1:4" x14ac:dyDescent="0.3">
      <c r="A51" s="3" t="s">
        <v>10</v>
      </c>
      <c r="B51">
        <v>2</v>
      </c>
      <c r="C51">
        <v>30</v>
      </c>
      <c r="D51">
        <f t="shared" si="16"/>
        <v>2.7000000000000001E-3</v>
      </c>
    </row>
  </sheetData>
  <mergeCells count="4">
    <mergeCell ref="D23:E23"/>
    <mergeCell ref="B23:C23"/>
    <mergeCell ref="F23:G23"/>
    <mergeCell ref="H23:I23"/>
  </mergeCells>
  <pageMargins left="0.7" right="0.7" top="0.75" bottom="0.75" header="0.3" footer="0.3"/>
  <ignoredErrors>
    <ignoredError sqref="D25:D29 F25:F29 H25:H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9A4D-7AA6-4F67-9F6D-7AAF39FD8B4F}">
  <sheetPr>
    <pageSetUpPr fitToPage="1"/>
  </sheetPr>
  <dimension ref="A1:J47"/>
  <sheetViews>
    <sheetView topLeftCell="A18" workbookViewId="0">
      <selection activeCell="G38" sqref="G38"/>
    </sheetView>
  </sheetViews>
  <sheetFormatPr defaultRowHeight="14.4" x14ac:dyDescent="0.3"/>
  <cols>
    <col min="1" max="1" width="35.88671875" bestFit="1" customWidth="1"/>
    <col min="2" max="2" width="22.33203125" customWidth="1"/>
    <col min="3" max="3" width="20" customWidth="1"/>
    <col min="4" max="4" width="23.77734375" bestFit="1" customWidth="1"/>
    <col min="5" max="5" width="29.6640625" bestFit="1" customWidth="1"/>
    <col min="6" max="6" width="21.44140625" customWidth="1"/>
    <col min="7" max="7" width="19.5546875" bestFit="1" customWidth="1"/>
    <col min="8" max="8" width="24.109375" bestFit="1" customWidth="1"/>
    <col min="9" max="9" width="12.5546875" customWidth="1"/>
  </cols>
  <sheetData>
    <row r="1" spans="1:10" x14ac:dyDescent="0.3">
      <c r="A1" s="30" t="s">
        <v>0</v>
      </c>
      <c r="B1" s="31" t="s">
        <v>1</v>
      </c>
      <c r="C1" s="31" t="s">
        <v>2</v>
      </c>
      <c r="D1" s="31" t="s">
        <v>24</v>
      </c>
      <c r="E1" s="31" t="s">
        <v>3</v>
      </c>
      <c r="F1" s="31" t="s">
        <v>4</v>
      </c>
      <c r="G1" s="31" t="s">
        <v>5</v>
      </c>
      <c r="H1" s="32" t="s">
        <v>74</v>
      </c>
      <c r="I1" s="1"/>
    </row>
    <row r="2" spans="1:10" x14ac:dyDescent="0.3">
      <c r="A2" s="33" t="s">
        <v>6</v>
      </c>
      <c r="B2">
        <v>0.9</v>
      </c>
      <c r="C2">
        <v>13</v>
      </c>
      <c r="D2">
        <v>5.9999999999999995E-4</v>
      </c>
      <c r="E2">
        <v>50</v>
      </c>
      <c r="F2">
        <v>22.5</v>
      </c>
      <c r="G2" t="s">
        <v>12</v>
      </c>
      <c r="H2" s="34">
        <v>4000</v>
      </c>
    </row>
    <row r="3" spans="1:10" x14ac:dyDescent="0.3">
      <c r="A3" s="33" t="s">
        <v>7</v>
      </c>
      <c r="B3">
        <v>1.8</v>
      </c>
      <c r="C3">
        <v>25</v>
      </c>
      <c r="D3">
        <v>8.9999999999999998E-4</v>
      </c>
      <c r="E3">
        <v>50</v>
      </c>
      <c r="F3">
        <v>41.9</v>
      </c>
      <c r="G3" t="s">
        <v>12</v>
      </c>
      <c r="H3" s="34">
        <v>5500</v>
      </c>
    </row>
    <row r="4" spans="1:10" x14ac:dyDescent="0.3">
      <c r="A4" s="33" t="s">
        <v>8</v>
      </c>
      <c r="B4">
        <v>0.6</v>
      </c>
      <c r="C4">
        <v>75</v>
      </c>
      <c r="D4">
        <v>1.8E-3</v>
      </c>
      <c r="E4">
        <v>50</v>
      </c>
      <c r="F4">
        <v>19.5</v>
      </c>
      <c r="G4" t="s">
        <v>12</v>
      </c>
      <c r="H4" s="34">
        <v>2500</v>
      </c>
    </row>
    <row r="5" spans="1:10" x14ac:dyDescent="0.3">
      <c r="A5" s="33" t="s">
        <v>9</v>
      </c>
      <c r="B5">
        <v>0.9</v>
      </c>
      <c r="C5">
        <v>90</v>
      </c>
      <c r="D5">
        <v>1.8E-3</v>
      </c>
      <c r="E5">
        <v>30</v>
      </c>
      <c r="F5">
        <v>14.7</v>
      </c>
      <c r="G5" t="s">
        <v>12</v>
      </c>
      <c r="H5" s="34">
        <v>8000</v>
      </c>
    </row>
    <row r="6" spans="1:10" x14ac:dyDescent="0.3">
      <c r="A6" s="33" t="s">
        <v>10</v>
      </c>
      <c r="B6">
        <v>2</v>
      </c>
      <c r="C6">
        <v>50</v>
      </c>
      <c r="D6">
        <v>2.5000000000000001E-3</v>
      </c>
      <c r="E6">
        <v>30</v>
      </c>
      <c r="F6">
        <v>70</v>
      </c>
      <c r="G6" t="s">
        <v>13</v>
      </c>
      <c r="H6" s="34">
        <v>6000</v>
      </c>
    </row>
    <row r="7" spans="1:10" ht="15" thickBot="1" x14ac:dyDescent="0.35">
      <c r="A7" s="35" t="s">
        <v>11</v>
      </c>
      <c r="B7" s="36"/>
      <c r="C7" s="36"/>
      <c r="D7" s="36"/>
      <c r="E7" s="36"/>
      <c r="F7" s="36"/>
      <c r="G7" s="36"/>
      <c r="H7" s="44">
        <f>SUM(H2:H6)</f>
        <v>26000</v>
      </c>
    </row>
    <row r="9" spans="1:10" x14ac:dyDescent="0.3">
      <c r="A9" s="3" t="s">
        <v>14</v>
      </c>
      <c r="B9" s="9">
        <v>2500</v>
      </c>
      <c r="C9" s="4"/>
    </row>
    <row r="10" spans="1:10" x14ac:dyDescent="0.3">
      <c r="A10" s="3" t="s">
        <v>16</v>
      </c>
      <c r="B10">
        <v>7000</v>
      </c>
      <c r="C10" s="3" t="s">
        <v>23</v>
      </c>
      <c r="D10">
        <v>5.0000000000000001E-3</v>
      </c>
    </row>
    <row r="11" spans="1:10" ht="15" thickBot="1" x14ac:dyDescent="0.35">
      <c r="A11" s="3"/>
      <c r="C11" s="3"/>
    </row>
    <row r="12" spans="1:10" x14ac:dyDescent="0.3">
      <c r="A12" s="37"/>
      <c r="B12" s="38" t="s">
        <v>18</v>
      </c>
      <c r="C12" s="38" t="s">
        <v>17</v>
      </c>
      <c r="D12" s="38" t="s">
        <v>25</v>
      </c>
      <c r="E12" s="38" t="s">
        <v>26</v>
      </c>
      <c r="F12" s="38" t="s">
        <v>27</v>
      </c>
      <c r="G12" s="39" t="s">
        <v>19</v>
      </c>
      <c r="J12" s="7"/>
    </row>
    <row r="13" spans="1:10" x14ac:dyDescent="0.3">
      <c r="A13" s="33" t="s">
        <v>6</v>
      </c>
      <c r="B13" s="4">
        <f>((($D$10/2)^2)*$B$10)/((D2/2)^2)</f>
        <v>486111.11111111124</v>
      </c>
      <c r="C13" s="7">
        <f>$B$9/B13</f>
        <v>5.1428571428571417E-3</v>
      </c>
      <c r="D13" s="4">
        <f>F2/C13</f>
        <v>4375.0000000000009</v>
      </c>
      <c r="E13" s="4">
        <f>H2*1000/F2</f>
        <v>177777.77777777778</v>
      </c>
      <c r="F13">
        <f>D13*E13</f>
        <v>777777777.77777791</v>
      </c>
      <c r="G13" s="34">
        <f>F13/1000</f>
        <v>777777.77777777787</v>
      </c>
      <c r="J13" s="7"/>
    </row>
    <row r="14" spans="1:10" x14ac:dyDescent="0.3">
      <c r="A14" s="33" t="s">
        <v>7</v>
      </c>
      <c r="B14" s="4">
        <f>((($D$10/2)^2)*$B$10)/((D3/2)^2)</f>
        <v>216049.38271604941</v>
      </c>
      <c r="C14" s="7">
        <f>$B$9/B14</f>
        <v>1.1571428571428569E-2</v>
      </c>
      <c r="D14" s="4">
        <f>F3/C14</f>
        <v>3620.987654320988</v>
      </c>
      <c r="E14" s="4">
        <f>H3*1000/F3</f>
        <v>131264.91646778042</v>
      </c>
      <c r="F14">
        <f t="shared" ref="F14:F17" si="0">D14*E14</f>
        <v>475308641.97530866</v>
      </c>
      <c r="G14" s="34">
        <f t="shared" ref="G14:G17" si="1">F14/1000</f>
        <v>475308.64197530865</v>
      </c>
      <c r="J14" s="7"/>
    </row>
    <row r="15" spans="1:10" x14ac:dyDescent="0.3">
      <c r="A15" s="33" t="s">
        <v>8</v>
      </c>
      <c r="B15" s="4">
        <f>((($D$10/2)^2)*$B$10)/((D4/2)^2)</f>
        <v>54012.345679012353</v>
      </c>
      <c r="C15" s="7">
        <f>$B$9/B15</f>
        <v>4.6285714285714277E-2</v>
      </c>
      <c r="D15" s="4">
        <f>F4/C15</f>
        <v>421.29629629629636</v>
      </c>
      <c r="E15" s="4">
        <f>H4*1000/F4</f>
        <v>128205.1282051282</v>
      </c>
      <c r="F15">
        <f t="shared" si="0"/>
        <v>54012345.679012351</v>
      </c>
      <c r="G15" s="34">
        <f t="shared" si="1"/>
        <v>54012.345679012353</v>
      </c>
      <c r="J15" s="7"/>
    </row>
    <row r="16" spans="1:10" x14ac:dyDescent="0.3">
      <c r="A16" s="33" t="s">
        <v>9</v>
      </c>
      <c r="B16" s="4">
        <f>((($D$10/2)^2)*$B$10)/((D5/2)^2)</f>
        <v>54012.345679012353</v>
      </c>
      <c r="C16" s="7">
        <f>$B$9/B16</f>
        <v>4.6285714285714277E-2</v>
      </c>
      <c r="D16" s="4">
        <f>F5/C16</f>
        <v>317.59259259259261</v>
      </c>
      <c r="E16" s="4">
        <f>H5*1000/F5</f>
        <v>544217.68707482994</v>
      </c>
      <c r="F16">
        <f t="shared" si="0"/>
        <v>172839506.17283952</v>
      </c>
      <c r="G16" s="34">
        <f t="shared" si="1"/>
        <v>172839.50617283952</v>
      </c>
      <c r="J16" s="7"/>
    </row>
    <row r="17" spans="1:9" x14ac:dyDescent="0.3">
      <c r="A17" s="33" t="s">
        <v>10</v>
      </c>
      <c r="B17" s="4">
        <f>((($D$10/2)^2)*$B$10)/((D6/2)^2)</f>
        <v>28000</v>
      </c>
      <c r="C17" s="7">
        <f>$B$9/B17</f>
        <v>8.9285714285714288E-2</v>
      </c>
      <c r="D17" s="4">
        <f>F6/C17</f>
        <v>784</v>
      </c>
      <c r="E17" s="4">
        <f>H6*1000/F6</f>
        <v>85714.28571428571</v>
      </c>
      <c r="F17">
        <f t="shared" si="0"/>
        <v>67200000</v>
      </c>
      <c r="G17" s="34">
        <f t="shared" si="1"/>
        <v>67200</v>
      </c>
    </row>
    <row r="18" spans="1:9" ht="15" thickBot="1" x14ac:dyDescent="0.35">
      <c r="A18" s="40" t="s">
        <v>20</v>
      </c>
      <c r="B18" s="41">
        <f t="shared" ref="B18:D18" si="2">SUM(B13:B17)</f>
        <v>838185.1851851854</v>
      </c>
      <c r="C18" s="42">
        <f t="shared" si="2"/>
        <v>0.19857142857142857</v>
      </c>
      <c r="D18" s="41">
        <f t="shared" si="2"/>
        <v>9518.8765432098771</v>
      </c>
      <c r="E18" s="41">
        <f>SUM(E13:E17)</f>
        <v>1067179.795239802</v>
      </c>
      <c r="F18" s="41">
        <f>SUM(F13:F17)</f>
        <v>1547138271.6049385</v>
      </c>
      <c r="G18" s="43">
        <f>SUM(G13:G17)</f>
        <v>1547138.2716049384</v>
      </c>
    </row>
    <row r="19" spans="1:9" x14ac:dyDescent="0.3">
      <c r="A19" s="3"/>
      <c r="B19" s="4"/>
    </row>
    <row r="20" spans="1:9" ht="15" thickBot="1" x14ac:dyDescent="0.35">
      <c r="A20" s="3" t="s">
        <v>30</v>
      </c>
      <c r="B20" s="9">
        <v>220</v>
      </c>
    </row>
    <row r="21" spans="1:9" x14ac:dyDescent="0.3">
      <c r="A21" s="37"/>
      <c r="B21" s="78" t="s">
        <v>29</v>
      </c>
      <c r="C21" s="79"/>
      <c r="D21" s="78" t="s">
        <v>28</v>
      </c>
      <c r="E21" s="79"/>
      <c r="F21" s="80" t="s">
        <v>50</v>
      </c>
      <c r="G21" s="80"/>
      <c r="H21" s="78" t="s">
        <v>51</v>
      </c>
      <c r="I21" s="79"/>
    </row>
    <row r="22" spans="1:9" x14ac:dyDescent="0.3">
      <c r="A22" s="45"/>
      <c r="B22" s="33" t="s">
        <v>21</v>
      </c>
      <c r="C22" s="46" t="s">
        <v>22</v>
      </c>
      <c r="D22" s="33" t="s">
        <v>21</v>
      </c>
      <c r="E22" s="46" t="s">
        <v>22</v>
      </c>
      <c r="F22" s="3" t="s">
        <v>21</v>
      </c>
      <c r="G22" s="3" t="s">
        <v>22</v>
      </c>
      <c r="H22" s="33" t="s">
        <v>21</v>
      </c>
      <c r="I22" s="46" t="s">
        <v>22</v>
      </c>
    </row>
    <row r="23" spans="1:9" x14ac:dyDescent="0.3">
      <c r="A23" s="33" t="s">
        <v>6</v>
      </c>
      <c r="B23" s="45">
        <f>F13/$B$20</f>
        <v>3535353.5353535358</v>
      </c>
      <c r="C23" s="34">
        <f>B23/1000</f>
        <v>3535.3535353535358</v>
      </c>
      <c r="D23" s="45">
        <f>(((D2/2)^2)*B23)/(($D$10/2)^2)</f>
        <v>50909.090909090904</v>
      </c>
      <c r="E23" s="34">
        <f>D23/1000</f>
        <v>50.909090909090907</v>
      </c>
      <c r="F23">
        <f>B23/0.96</f>
        <v>3682659.9326599333</v>
      </c>
      <c r="G23">
        <f>F23/1000</f>
        <v>3682.6599326599335</v>
      </c>
      <c r="H23" s="45">
        <f>D23/0.96</f>
        <v>53030.303030303025</v>
      </c>
      <c r="I23" s="34">
        <f>H23/1000</f>
        <v>53.030303030303024</v>
      </c>
    </row>
    <row r="24" spans="1:9" x14ac:dyDescent="0.3">
      <c r="A24" s="33" t="s">
        <v>7</v>
      </c>
      <c r="B24" s="45">
        <f>F14/$B$20</f>
        <v>2160493.8271604939</v>
      </c>
      <c r="C24" s="34">
        <f t="shared" ref="C24:C27" si="3">B24/1000</f>
        <v>2160.4938271604938</v>
      </c>
      <c r="D24" s="45">
        <f>(((D3/2)^2)*B24)/(($D$10/2)^2)</f>
        <v>70000</v>
      </c>
      <c r="E24" s="34">
        <f t="shared" ref="E24:E27" si="4">D24/1000</f>
        <v>70</v>
      </c>
      <c r="F24">
        <f t="shared" ref="F24:F27" si="5">B24/0.96</f>
        <v>2250514.4032921814</v>
      </c>
      <c r="G24">
        <f t="shared" ref="G24:G27" si="6">F24/1000</f>
        <v>2250.5144032921812</v>
      </c>
      <c r="H24" s="45">
        <f t="shared" ref="H24:H27" si="7">D24/0.96</f>
        <v>72916.666666666672</v>
      </c>
      <c r="I24" s="34">
        <f t="shared" ref="I24:I27" si="8">H24/1000</f>
        <v>72.916666666666671</v>
      </c>
    </row>
    <row r="25" spans="1:9" x14ac:dyDescent="0.3">
      <c r="A25" s="33" t="s">
        <v>8</v>
      </c>
      <c r="B25" s="45">
        <f>F15/$B$20</f>
        <v>245510.66217732886</v>
      </c>
      <c r="C25" s="34">
        <f t="shared" si="3"/>
        <v>245.51066217732887</v>
      </c>
      <c r="D25" s="45">
        <f>(((D4/2)^2)*B25)/(($D$10/2)^2)</f>
        <v>31818.18181818182</v>
      </c>
      <c r="E25" s="34">
        <f t="shared" si="4"/>
        <v>31.81818181818182</v>
      </c>
      <c r="F25">
        <f t="shared" si="5"/>
        <v>255740.27310138426</v>
      </c>
      <c r="G25">
        <f t="shared" si="6"/>
        <v>255.74027310138425</v>
      </c>
      <c r="H25" s="45">
        <f t="shared" si="7"/>
        <v>33143.939393939399</v>
      </c>
      <c r="I25" s="34">
        <f t="shared" si="8"/>
        <v>33.143939393939398</v>
      </c>
    </row>
    <row r="26" spans="1:9" x14ac:dyDescent="0.3">
      <c r="A26" s="33" t="s">
        <v>9</v>
      </c>
      <c r="B26" s="45">
        <f>F16/$B$20</f>
        <v>785634.11896745232</v>
      </c>
      <c r="C26" s="34">
        <f t="shared" si="3"/>
        <v>785.63411896745231</v>
      </c>
      <c r="D26" s="45">
        <f>(((D5/2)^2)*B26)/(($D$10/2)^2)</f>
        <v>101818.18181818181</v>
      </c>
      <c r="E26" s="34">
        <f t="shared" si="4"/>
        <v>101.81818181818181</v>
      </c>
      <c r="F26">
        <f t="shared" si="5"/>
        <v>818368.87392442953</v>
      </c>
      <c r="G26">
        <f t="shared" si="6"/>
        <v>818.36887392442952</v>
      </c>
      <c r="H26" s="45">
        <f t="shared" si="7"/>
        <v>106060.60606060605</v>
      </c>
      <c r="I26" s="34">
        <f t="shared" si="8"/>
        <v>106.06060606060605</v>
      </c>
    </row>
    <row r="27" spans="1:9" x14ac:dyDescent="0.3">
      <c r="A27" s="33" t="s">
        <v>10</v>
      </c>
      <c r="B27" s="45">
        <f>F17/$B$20</f>
        <v>305454.54545454547</v>
      </c>
      <c r="C27" s="34">
        <f t="shared" si="3"/>
        <v>305.4545454545455</v>
      </c>
      <c r="D27" s="45">
        <f>(((D6/2)^2)*B27)/(($D$10/2)^2)</f>
        <v>76363.636363636368</v>
      </c>
      <c r="E27" s="34">
        <f t="shared" si="4"/>
        <v>76.363636363636374</v>
      </c>
      <c r="F27">
        <f t="shared" si="5"/>
        <v>318181.81818181823</v>
      </c>
      <c r="G27">
        <f t="shared" si="6"/>
        <v>318.18181818181824</v>
      </c>
      <c r="H27" s="45">
        <f t="shared" si="7"/>
        <v>79545.454545454559</v>
      </c>
      <c r="I27" s="34">
        <f t="shared" si="8"/>
        <v>79.545454545454561</v>
      </c>
    </row>
    <row r="28" spans="1:9" ht="15" thickBot="1" x14ac:dyDescent="0.35">
      <c r="A28" s="40" t="s">
        <v>20</v>
      </c>
      <c r="B28" s="48">
        <f>SUM(B23:B27)</f>
        <v>7032446.6891133571</v>
      </c>
      <c r="C28" s="44">
        <f t="shared" ref="C28:I28" si="9">SUM(C23:C27)</f>
        <v>7032.4466891133561</v>
      </c>
      <c r="D28" s="48">
        <f t="shared" si="9"/>
        <v>330909.09090909088</v>
      </c>
      <c r="E28" s="44">
        <f t="shared" si="9"/>
        <v>330.90909090909088</v>
      </c>
      <c r="F28" s="47">
        <f t="shared" si="9"/>
        <v>7325465.301159746</v>
      </c>
      <c r="G28" s="47">
        <f t="shared" si="9"/>
        <v>7325.4653011597475</v>
      </c>
      <c r="H28" s="48">
        <f t="shared" si="9"/>
        <v>344696.96969696973</v>
      </c>
      <c r="I28" s="44">
        <f t="shared" si="9"/>
        <v>344.69696969696969</v>
      </c>
    </row>
    <row r="29" spans="1:9" ht="15" thickBot="1" x14ac:dyDescent="0.35"/>
    <row r="30" spans="1:9" x14ac:dyDescent="0.3">
      <c r="A30" s="37"/>
      <c r="B30" s="38" t="s">
        <v>55</v>
      </c>
      <c r="C30" s="38" t="s">
        <v>43</v>
      </c>
      <c r="D30" s="38" t="s">
        <v>60</v>
      </c>
      <c r="E30" s="38" t="s">
        <v>45</v>
      </c>
      <c r="F30" s="49" t="s">
        <v>44</v>
      </c>
      <c r="H30" s="3"/>
    </row>
    <row r="31" spans="1:9" x14ac:dyDescent="0.3">
      <c r="A31" s="33" t="s">
        <v>6</v>
      </c>
      <c r="B31">
        <f>F23</f>
        <v>3682659.9326599333</v>
      </c>
      <c r="C31">
        <v>15</v>
      </c>
      <c r="D31">
        <v>15</v>
      </c>
      <c r="E31">
        <f>C31*60*60*7</f>
        <v>378000</v>
      </c>
      <c r="F31" s="34">
        <f>ROUNDUP(B31/E31,0)*2</f>
        <v>20</v>
      </c>
    </row>
    <row r="32" spans="1:9" x14ac:dyDescent="0.3">
      <c r="A32" s="33" t="s">
        <v>7</v>
      </c>
      <c r="B32">
        <f t="shared" ref="B32:B35" si="10">F24</f>
        <v>2250514.4032921814</v>
      </c>
      <c r="C32">
        <v>15</v>
      </c>
      <c r="D32">
        <v>15</v>
      </c>
      <c r="E32">
        <f t="shared" ref="E32:E35" si="11">C32*60*60*7</f>
        <v>378000</v>
      </c>
      <c r="F32" s="34">
        <f>ROUNDUP(B32/E32,0)*2</f>
        <v>12</v>
      </c>
    </row>
    <row r="33" spans="1:6" x14ac:dyDescent="0.3">
      <c r="A33" s="33" t="s">
        <v>8</v>
      </c>
      <c r="B33">
        <f t="shared" si="10"/>
        <v>255740.27310138426</v>
      </c>
      <c r="C33">
        <v>20</v>
      </c>
      <c r="D33" t="s">
        <v>61</v>
      </c>
      <c r="E33">
        <f t="shared" si="11"/>
        <v>504000</v>
      </c>
      <c r="F33" s="34">
        <f>ROUNDUP(B33/E33,0)</f>
        <v>1</v>
      </c>
    </row>
    <row r="34" spans="1:6" x14ac:dyDescent="0.3">
      <c r="A34" s="33" t="s">
        <v>9</v>
      </c>
      <c r="B34">
        <f t="shared" si="10"/>
        <v>818368.87392442953</v>
      </c>
      <c r="C34">
        <v>20</v>
      </c>
      <c r="D34" t="s">
        <v>61</v>
      </c>
      <c r="E34">
        <f t="shared" si="11"/>
        <v>504000</v>
      </c>
      <c r="F34" s="34">
        <f>ROUNDUP(B34/E34,0)</f>
        <v>2</v>
      </c>
    </row>
    <row r="35" spans="1:6" x14ac:dyDescent="0.3">
      <c r="A35" s="33" t="s">
        <v>10</v>
      </c>
      <c r="B35">
        <f t="shared" si="10"/>
        <v>318181.81818181823</v>
      </c>
      <c r="C35">
        <v>20</v>
      </c>
      <c r="D35" t="s">
        <v>61</v>
      </c>
      <c r="E35">
        <f t="shared" si="11"/>
        <v>504000</v>
      </c>
      <c r="F35" s="34">
        <f>ROUNDUP(B35/E35,0)</f>
        <v>1</v>
      </c>
    </row>
    <row r="36" spans="1:6" ht="15" thickBot="1" x14ac:dyDescent="0.35">
      <c r="A36" s="40" t="s">
        <v>20</v>
      </c>
      <c r="B36" s="47">
        <f>SUM(B31:B35)</f>
        <v>7325465.301159746</v>
      </c>
      <c r="C36" s="47">
        <f t="shared" ref="C36" si="12">SUM(C31:C35)</f>
        <v>90</v>
      </c>
      <c r="D36" s="47"/>
      <c r="E36" s="50">
        <f>SUM(E31:E35)</f>
        <v>2268000</v>
      </c>
      <c r="F36" s="44">
        <f>SUM(F31:F35)</f>
        <v>36</v>
      </c>
    </row>
    <row r="37" spans="1:6" x14ac:dyDescent="0.3">
      <c r="E37" s="81" t="s">
        <v>71</v>
      </c>
      <c r="F37" s="81"/>
    </row>
    <row r="39" spans="1:6" x14ac:dyDescent="0.3">
      <c r="A39" s="3" t="s">
        <v>52</v>
      </c>
      <c r="B39">
        <f>H28/7000</f>
        <v>49.242424242424249</v>
      </c>
    </row>
    <row r="40" spans="1:6" x14ac:dyDescent="0.3">
      <c r="A40" s="3" t="s">
        <v>75</v>
      </c>
      <c r="B40">
        <f>B39*3</f>
        <v>147.72727272727275</v>
      </c>
    </row>
    <row r="41" spans="1:6" ht="15" thickBot="1" x14ac:dyDescent="0.35"/>
    <row r="42" spans="1:6" x14ac:dyDescent="0.3">
      <c r="A42" s="37"/>
      <c r="B42" s="31" t="s">
        <v>1</v>
      </c>
      <c r="C42" s="31" t="s">
        <v>3</v>
      </c>
      <c r="D42" s="51" t="s">
        <v>79</v>
      </c>
    </row>
    <row r="43" spans="1:6" x14ac:dyDescent="0.3">
      <c r="A43" s="33" t="s">
        <v>6</v>
      </c>
      <c r="B43">
        <v>0.9</v>
      </c>
      <c r="C43">
        <v>50</v>
      </c>
      <c r="D43" s="34">
        <f>D2+0.0002</f>
        <v>7.9999999999999993E-4</v>
      </c>
    </row>
    <row r="44" spans="1:6" x14ac:dyDescent="0.3">
      <c r="A44" s="33" t="s">
        <v>7</v>
      </c>
      <c r="B44">
        <v>1.8</v>
      </c>
      <c r="C44">
        <v>50</v>
      </c>
      <c r="D44" s="34">
        <f t="shared" ref="D44:D47" si="13">D3+0.0002</f>
        <v>1.1000000000000001E-3</v>
      </c>
    </row>
    <row r="45" spans="1:6" x14ac:dyDescent="0.3">
      <c r="A45" s="33" t="s">
        <v>8</v>
      </c>
      <c r="B45">
        <v>0.6</v>
      </c>
      <c r="C45">
        <v>50</v>
      </c>
      <c r="D45" s="34">
        <f t="shared" si="13"/>
        <v>2E-3</v>
      </c>
    </row>
    <row r="46" spans="1:6" x14ac:dyDescent="0.3">
      <c r="A46" s="33" t="s">
        <v>9</v>
      </c>
      <c r="B46">
        <v>0.9</v>
      </c>
      <c r="C46">
        <v>30</v>
      </c>
      <c r="D46" s="34">
        <f t="shared" si="13"/>
        <v>2E-3</v>
      </c>
    </row>
    <row r="47" spans="1:6" ht="15" thickBot="1" x14ac:dyDescent="0.35">
      <c r="A47" s="35" t="s">
        <v>10</v>
      </c>
      <c r="B47" s="36">
        <v>2</v>
      </c>
      <c r="C47" s="36">
        <v>30</v>
      </c>
      <c r="D47" s="52">
        <f t="shared" si="13"/>
        <v>2.7000000000000001E-3</v>
      </c>
    </row>
  </sheetData>
  <mergeCells count="5">
    <mergeCell ref="B21:C21"/>
    <mergeCell ref="D21:E21"/>
    <mergeCell ref="F21:G21"/>
    <mergeCell ref="H21:I21"/>
    <mergeCell ref="E37:F37"/>
  </mergeCells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E62C-57AB-4852-A542-83CB584EC0C0}">
  <dimension ref="A1:J48"/>
  <sheetViews>
    <sheetView topLeftCell="A19" zoomScale="85" zoomScaleNormal="85" workbookViewId="0">
      <selection activeCell="B33" sqref="B33:F38"/>
    </sheetView>
  </sheetViews>
  <sheetFormatPr defaultRowHeight="14.4" x14ac:dyDescent="0.3"/>
  <cols>
    <col min="1" max="1" width="37.109375" bestFit="1" customWidth="1"/>
    <col min="2" max="2" width="22.33203125" bestFit="1" customWidth="1"/>
    <col min="3" max="3" width="26.88671875" bestFit="1" customWidth="1"/>
    <col min="4" max="4" width="27.77734375" customWidth="1"/>
    <col min="5" max="5" width="21.109375" bestFit="1" customWidth="1"/>
    <col min="6" max="6" width="19.33203125" bestFit="1" customWidth="1"/>
    <col min="7" max="7" width="16.21875" bestFit="1" customWidth="1"/>
    <col min="8" max="8" width="23.44140625" bestFit="1" customWidth="1"/>
    <col min="9" max="9" width="20.88671875" bestFit="1" customWidth="1"/>
    <col min="10" max="10" width="16.109375" bestFit="1" customWidth="1"/>
  </cols>
  <sheetData>
    <row r="1" spans="1:10" x14ac:dyDescent="0.3">
      <c r="A1" s="3" t="s">
        <v>38</v>
      </c>
      <c r="B1">
        <v>50</v>
      </c>
      <c r="D1" s="3" t="s">
        <v>31</v>
      </c>
    </row>
    <row r="2" spans="1:10" x14ac:dyDescent="0.3">
      <c r="A2" s="3" t="s">
        <v>39</v>
      </c>
      <c r="B2">
        <f>B1/1000000</f>
        <v>5.0000000000000002E-5</v>
      </c>
    </row>
    <row r="3" spans="1:10" x14ac:dyDescent="0.3">
      <c r="A3" s="3" t="s">
        <v>32</v>
      </c>
      <c r="B3">
        <f>'Operation A'!C30</f>
        <v>7032.4466891133561</v>
      </c>
    </row>
    <row r="4" spans="1:10" x14ac:dyDescent="0.3">
      <c r="A4" s="3" t="s">
        <v>62</v>
      </c>
      <c r="B4">
        <v>7.14</v>
      </c>
      <c r="D4" s="3" t="s">
        <v>34</v>
      </c>
      <c r="E4" s="18">
        <f>PI()</f>
        <v>3.1415926535897931</v>
      </c>
    </row>
    <row r="5" spans="1:10" x14ac:dyDescent="0.3">
      <c r="A5" s="3" t="s">
        <v>80</v>
      </c>
      <c r="B5">
        <v>357</v>
      </c>
      <c r="D5" s="3"/>
      <c r="F5" t="s">
        <v>59</v>
      </c>
    </row>
    <row r="6" spans="1:10" x14ac:dyDescent="0.3">
      <c r="F6" t="s">
        <v>70</v>
      </c>
    </row>
    <row r="7" spans="1:10" x14ac:dyDescent="0.3">
      <c r="B7" s="3" t="s">
        <v>33</v>
      </c>
      <c r="C7" s="3" t="s">
        <v>35</v>
      </c>
      <c r="D7" s="3" t="s">
        <v>36</v>
      </c>
      <c r="E7" s="3" t="s">
        <v>37</v>
      </c>
      <c r="G7" s="63"/>
      <c r="H7" s="64" t="str">
        <f>B32</f>
        <v>Daily demand (m)</v>
      </c>
      <c r="I7" s="64" t="s">
        <v>89</v>
      </c>
      <c r="J7" s="64" t="s">
        <v>91</v>
      </c>
    </row>
    <row r="8" spans="1:10" x14ac:dyDescent="0.3">
      <c r="A8" s="3" t="s">
        <v>6</v>
      </c>
      <c r="B8">
        <v>5.9999999999999995E-4</v>
      </c>
      <c r="C8" s="27">
        <f>((B8+$B$2)/2)*2*$E$4</f>
        <v>2.0420352248333652E-3</v>
      </c>
      <c r="D8">
        <f>C8*$B$5*$B$4</f>
        <v>5.205106947395751</v>
      </c>
      <c r="E8">
        <f>(D8*1000)/1000</f>
        <v>5.205106947395751</v>
      </c>
      <c r="G8" s="64" t="s">
        <v>6</v>
      </c>
      <c r="H8" s="63">
        <f t="shared" ref="H8:H12" si="0">B33</f>
        <v>3682659.9326599333</v>
      </c>
      <c r="I8" s="63">
        <f>H8/1000*E8</f>
        <v>19168.638800384189</v>
      </c>
      <c r="J8" s="63">
        <f>I8/$B$20/7</f>
        <v>4.5639616191390928</v>
      </c>
    </row>
    <row r="9" spans="1:10" x14ac:dyDescent="0.3">
      <c r="A9" s="3" t="s">
        <v>7</v>
      </c>
      <c r="B9">
        <v>8.9999999999999998E-4</v>
      </c>
      <c r="C9" s="27">
        <f t="shared" ref="C9:C12" si="1">((B9+$B$2)/2)*2*$E$4</f>
        <v>2.9845130209103033E-3</v>
      </c>
      <c r="D9">
        <f t="shared" ref="D9:D12" si="2">C9*$B$5*$B$4</f>
        <v>7.6074640000399452</v>
      </c>
      <c r="E9">
        <f t="shared" ref="E9:E12" si="3">(D9*1000)/1000</f>
        <v>7.6074640000399452</v>
      </c>
      <c r="G9" s="64" t="s">
        <v>7</v>
      </c>
      <c r="H9" s="63">
        <f t="shared" si="0"/>
        <v>2250514.4032921814</v>
      </c>
      <c r="I9" s="63">
        <f t="shared" ref="I9:I12" si="4">H9/1000*E9</f>
        <v>17120.707304616648</v>
      </c>
      <c r="J9" s="63">
        <f t="shared" ref="J9:J12" si="5">I9/$B$20/7</f>
        <v>4.0763588820515828</v>
      </c>
    </row>
    <row r="10" spans="1:10" x14ac:dyDescent="0.3">
      <c r="A10" s="3" t="s">
        <v>8</v>
      </c>
      <c r="B10">
        <v>1.8E-3</v>
      </c>
      <c r="C10" s="27">
        <f t="shared" si="1"/>
        <v>5.8119464091411169E-3</v>
      </c>
      <c r="D10">
        <f t="shared" si="2"/>
        <v>14.814535157972523</v>
      </c>
      <c r="E10">
        <f t="shared" si="3"/>
        <v>14.814535157972523</v>
      </c>
      <c r="G10" s="64" t="s">
        <v>8</v>
      </c>
      <c r="H10" s="63">
        <f t="shared" si="0"/>
        <v>255740.27310138426</v>
      </c>
      <c r="I10" s="63">
        <f t="shared" si="4"/>
        <v>3788.6732671699519</v>
      </c>
      <c r="J10" s="63">
        <f t="shared" si="5"/>
        <v>0.90206506361189331</v>
      </c>
    </row>
    <row r="11" spans="1:10" x14ac:dyDescent="0.3">
      <c r="A11" s="3" t="s">
        <v>9</v>
      </c>
      <c r="B11">
        <v>1.8E-3</v>
      </c>
      <c r="C11" s="27">
        <f t="shared" si="1"/>
        <v>5.8119464091411169E-3</v>
      </c>
      <c r="D11">
        <f t="shared" si="2"/>
        <v>14.814535157972523</v>
      </c>
      <c r="E11">
        <f t="shared" si="3"/>
        <v>14.814535157972523</v>
      </c>
      <c r="G11" s="64" t="s">
        <v>9</v>
      </c>
      <c r="H11" s="63">
        <f t="shared" si="0"/>
        <v>818368.87392442953</v>
      </c>
      <c r="I11" s="63">
        <f t="shared" si="4"/>
        <v>12123.754454943844</v>
      </c>
      <c r="J11" s="63">
        <f t="shared" si="5"/>
        <v>2.8866082035580582</v>
      </c>
    </row>
    <row r="12" spans="1:10" x14ac:dyDescent="0.3">
      <c r="A12" s="3" t="s">
        <v>10</v>
      </c>
      <c r="B12">
        <v>2.5000000000000001E-3</v>
      </c>
      <c r="C12" s="27">
        <f t="shared" si="1"/>
        <v>8.0110612666539731E-3</v>
      </c>
      <c r="D12">
        <f t="shared" si="2"/>
        <v>20.420034947475642</v>
      </c>
      <c r="E12">
        <f t="shared" si="3"/>
        <v>20.420034947475646</v>
      </c>
      <c r="G12" s="64" t="s">
        <v>10</v>
      </c>
      <c r="H12" s="63">
        <f t="shared" si="0"/>
        <v>318181.81818181823</v>
      </c>
      <c r="I12" s="63">
        <f t="shared" si="4"/>
        <v>6497.2838469240705</v>
      </c>
      <c r="J12" s="63">
        <f t="shared" si="5"/>
        <v>1.5469723445057311</v>
      </c>
    </row>
    <row r="13" spans="1:10" x14ac:dyDescent="0.3">
      <c r="A13" s="5" t="s">
        <v>20</v>
      </c>
      <c r="B13" s="5"/>
      <c r="C13" s="28"/>
      <c r="D13" s="28"/>
      <c r="E13" s="28">
        <f>SUM(E8:E12)</f>
        <v>62.861676210856388</v>
      </c>
      <c r="G13" s="63"/>
      <c r="H13" s="65">
        <f>SUM(H8:H12)</f>
        <v>7325465.301159746</v>
      </c>
      <c r="I13" s="65">
        <f t="shared" ref="I13" si="6">SUM(I8:I12)</f>
        <v>58699.057674038704</v>
      </c>
      <c r="J13" s="65">
        <f>ROUNDUP(SUM(J8:J12),0)</f>
        <v>14</v>
      </c>
    </row>
    <row r="14" spans="1:10" x14ac:dyDescent="0.3">
      <c r="G14" s="63"/>
      <c r="H14" s="63"/>
      <c r="I14" s="63"/>
      <c r="J14" s="63"/>
    </row>
    <row r="15" spans="1:10" x14ac:dyDescent="0.3">
      <c r="G15" s="63"/>
      <c r="H15" s="63"/>
      <c r="I15" s="63"/>
      <c r="J15" s="63"/>
    </row>
    <row r="16" spans="1:10" x14ac:dyDescent="0.3">
      <c r="A16" s="3" t="s">
        <v>47</v>
      </c>
      <c r="B16" t="s">
        <v>46</v>
      </c>
      <c r="G16" s="63"/>
      <c r="H16" s="63" t="s">
        <v>90</v>
      </c>
      <c r="I16" s="63">
        <v>2</v>
      </c>
      <c r="J16" s="63"/>
    </row>
    <row r="17" spans="1:10" x14ac:dyDescent="0.3">
      <c r="A17" s="15" t="s">
        <v>40</v>
      </c>
      <c r="B17" s="16">
        <v>100</v>
      </c>
      <c r="C17">
        <f>B17*B18*E28</f>
        <v>14500</v>
      </c>
      <c r="G17" s="63"/>
      <c r="H17" s="63"/>
      <c r="I17" s="64" t="s">
        <v>54</v>
      </c>
      <c r="J17" s="63"/>
    </row>
    <row r="18" spans="1:10" x14ac:dyDescent="0.3">
      <c r="A18" s="15" t="s">
        <v>41</v>
      </c>
      <c r="B18" s="16">
        <v>5</v>
      </c>
      <c r="G18" s="63"/>
      <c r="H18" s="64" t="s">
        <v>6</v>
      </c>
      <c r="I18" s="63">
        <f>J8/$I$16</f>
        <v>2.2819808095695464</v>
      </c>
      <c r="J18" s="63"/>
    </row>
    <row r="19" spans="1:10" x14ac:dyDescent="0.3">
      <c r="A19" s="15" t="s">
        <v>42</v>
      </c>
      <c r="B19" s="16">
        <v>3</v>
      </c>
      <c r="G19" s="63"/>
      <c r="H19" s="64" t="s">
        <v>7</v>
      </c>
      <c r="I19" s="63">
        <f t="shared" ref="I19:I22" si="7">J9/$I$16</f>
        <v>2.0381794410257914</v>
      </c>
      <c r="J19" s="63"/>
    </row>
    <row r="20" spans="1:10" x14ac:dyDescent="0.3">
      <c r="A20" s="3" t="s">
        <v>48</v>
      </c>
      <c r="B20">
        <v>600</v>
      </c>
      <c r="G20" s="63"/>
      <c r="H20" s="64" t="s">
        <v>8</v>
      </c>
      <c r="I20" s="63">
        <f t="shared" si="7"/>
        <v>0.45103253180594666</v>
      </c>
      <c r="J20" s="63"/>
    </row>
    <row r="21" spans="1:10" x14ac:dyDescent="0.3">
      <c r="G21" s="63"/>
      <c r="H21" s="64" t="s">
        <v>9</v>
      </c>
      <c r="I21" s="63">
        <f t="shared" si="7"/>
        <v>1.4433041017790291</v>
      </c>
      <c r="J21" s="63"/>
    </row>
    <row r="22" spans="1:10" x14ac:dyDescent="0.3">
      <c r="A22" s="60"/>
      <c r="B22" s="61" t="s">
        <v>57</v>
      </c>
      <c r="C22" s="61" t="s">
        <v>56</v>
      </c>
      <c r="D22" s="61" t="s">
        <v>58</v>
      </c>
      <c r="E22" s="61" t="s">
        <v>54</v>
      </c>
      <c r="G22" s="63"/>
      <c r="H22" s="64" t="s">
        <v>10</v>
      </c>
      <c r="I22" s="63">
        <f t="shared" si="7"/>
        <v>0.77348617225286553</v>
      </c>
      <c r="J22" s="63"/>
    </row>
    <row r="23" spans="1:10" x14ac:dyDescent="0.3">
      <c r="A23" s="61" t="s">
        <v>6</v>
      </c>
      <c r="B23" s="60">
        <v>4000000</v>
      </c>
      <c r="C23" s="60">
        <f>B23/220</f>
        <v>18181.81818181818</v>
      </c>
      <c r="D23" s="60">
        <f>C23/7</f>
        <v>2597.4025974025972</v>
      </c>
      <c r="E23" s="60">
        <f>D23/$B$20</f>
        <v>4.329004329004329</v>
      </c>
      <c r="G23" s="63"/>
      <c r="H23" s="63"/>
      <c r="I23" s="64">
        <f>ROUNDUP(SUM(I18:I22),0)</f>
        <v>7</v>
      </c>
      <c r="J23" s="63"/>
    </row>
    <row r="24" spans="1:10" x14ac:dyDescent="0.3">
      <c r="A24" s="61" t="s">
        <v>7</v>
      </c>
      <c r="B24" s="60">
        <v>5500000</v>
      </c>
      <c r="C24" s="60">
        <f t="shared" ref="C24:C27" si="8">B24/220</f>
        <v>25000</v>
      </c>
      <c r="D24" s="60">
        <f t="shared" ref="D24:D27" si="9">C24/7</f>
        <v>3571.4285714285716</v>
      </c>
      <c r="E24" s="60">
        <f t="shared" ref="E24:E27" si="10">D24/$B$20</f>
        <v>5.9523809523809526</v>
      </c>
    </row>
    <row r="25" spans="1:10" x14ac:dyDescent="0.3">
      <c r="A25" s="61" t="s">
        <v>8</v>
      </c>
      <c r="B25" s="60">
        <v>2500000</v>
      </c>
      <c r="C25" s="60">
        <f t="shared" si="8"/>
        <v>11363.636363636364</v>
      </c>
      <c r="D25" s="60">
        <f t="shared" si="9"/>
        <v>1623.3766233766235</v>
      </c>
      <c r="E25" s="60">
        <f t="shared" si="10"/>
        <v>2.7056277056277058</v>
      </c>
    </row>
    <row r="26" spans="1:10" x14ac:dyDescent="0.3">
      <c r="A26" s="61" t="s">
        <v>9</v>
      </c>
      <c r="B26" s="60">
        <v>8000000</v>
      </c>
      <c r="C26" s="60">
        <f t="shared" si="8"/>
        <v>36363.63636363636</v>
      </c>
      <c r="D26" s="60">
        <f t="shared" si="9"/>
        <v>5194.8051948051943</v>
      </c>
      <c r="E26" s="60">
        <f t="shared" si="10"/>
        <v>8.6580086580086579</v>
      </c>
    </row>
    <row r="27" spans="1:10" x14ac:dyDescent="0.3">
      <c r="A27" s="61" t="s">
        <v>10</v>
      </c>
      <c r="B27" s="60">
        <v>6000000</v>
      </c>
      <c r="C27" s="60">
        <f t="shared" si="8"/>
        <v>27272.727272727272</v>
      </c>
      <c r="D27" s="60">
        <f t="shared" si="9"/>
        <v>3896.1038961038962</v>
      </c>
      <c r="E27" s="60">
        <f t="shared" si="10"/>
        <v>6.4935064935064934</v>
      </c>
    </row>
    <row r="28" spans="1:10" x14ac:dyDescent="0.3">
      <c r="A28" s="60"/>
      <c r="B28" s="62">
        <f>SUM(B23:B27)</f>
        <v>26000000</v>
      </c>
      <c r="C28" s="62">
        <f t="shared" ref="C28:D28" si="11">SUM(C23:C27)</f>
        <v>118181.81818181818</v>
      </c>
      <c r="D28" s="62">
        <f t="shared" si="11"/>
        <v>16883.116883116883</v>
      </c>
      <c r="E28" s="62">
        <f>ROUNDUP(SUM(E23:E27),0)</f>
        <v>29</v>
      </c>
    </row>
    <row r="30" spans="1:10" x14ac:dyDescent="0.3">
      <c r="A30" s="3"/>
    </row>
    <row r="31" spans="1:10" x14ac:dyDescent="0.3">
      <c r="A31" s="3" t="s">
        <v>49</v>
      </c>
      <c r="B31">
        <v>25</v>
      </c>
    </row>
    <row r="32" spans="1:10" x14ac:dyDescent="0.3">
      <c r="A32" s="11"/>
      <c r="B32" s="11" t="s">
        <v>66</v>
      </c>
      <c r="C32" s="11" t="s">
        <v>69</v>
      </c>
      <c r="D32" s="11" t="s">
        <v>67</v>
      </c>
      <c r="E32" s="11" t="s">
        <v>68</v>
      </c>
      <c r="F32" s="11" t="s">
        <v>78</v>
      </c>
    </row>
    <row r="33" spans="1:6" x14ac:dyDescent="0.3">
      <c r="A33" s="11" t="s">
        <v>6</v>
      </c>
      <c r="B33" s="12">
        <f>'Operation A'!F25</f>
        <v>3682659.9326599333</v>
      </c>
      <c r="C33" s="12">
        <f>B8/2</f>
        <v>2.9999999999999997E-4</v>
      </c>
      <c r="D33" s="12">
        <f>2*$E$4*C33*B33</f>
        <v>6941.6504340683568</v>
      </c>
      <c r="E33" s="12">
        <v>0.3</v>
      </c>
      <c r="F33" s="12">
        <f>E33*D33</f>
        <v>2082.4951302205068</v>
      </c>
    </row>
    <row r="34" spans="1:6" x14ac:dyDescent="0.3">
      <c r="A34" s="11" t="s">
        <v>7</v>
      </c>
      <c r="B34" s="12">
        <f>'Operation A'!F26</f>
        <v>2250514.4032921814</v>
      </c>
      <c r="C34" s="12">
        <f>B9/2</f>
        <v>4.4999999999999999E-4</v>
      </c>
      <c r="D34" s="12">
        <f t="shared" ref="D34:D37" si="12">2*$E$4*C34*B34</f>
        <v>6363.1795645626607</v>
      </c>
      <c r="E34" s="12">
        <v>0.3</v>
      </c>
      <c r="F34" s="12">
        <f t="shared" ref="F34:F37" si="13">E34*D34</f>
        <v>1908.9538693687982</v>
      </c>
    </row>
    <row r="35" spans="1:6" x14ac:dyDescent="0.3">
      <c r="A35" s="11" t="s">
        <v>8</v>
      </c>
      <c r="B35" s="12">
        <f>'Operation A'!F27</f>
        <v>255740.27310138426</v>
      </c>
      <c r="C35" s="12">
        <f>B10/2</f>
        <v>8.9999999999999998E-4</v>
      </c>
      <c r="D35" s="12">
        <f t="shared" si="12"/>
        <v>1446.1771737642409</v>
      </c>
      <c r="E35" s="12">
        <v>0.3</v>
      </c>
      <c r="F35" s="12">
        <f t="shared" si="13"/>
        <v>433.85315212927225</v>
      </c>
    </row>
    <row r="36" spans="1:6" x14ac:dyDescent="0.3">
      <c r="A36" s="11" t="s">
        <v>9</v>
      </c>
      <c r="B36" s="12">
        <f>'Operation A'!F28</f>
        <v>818368.87392442953</v>
      </c>
      <c r="C36" s="12">
        <f>B11/2</f>
        <v>8.9999999999999998E-4</v>
      </c>
      <c r="D36" s="12">
        <f t="shared" si="12"/>
        <v>4627.7669560455706</v>
      </c>
      <c r="E36" s="12">
        <v>0.3</v>
      </c>
      <c r="F36" s="12">
        <f t="shared" si="13"/>
        <v>1388.3300868136712</v>
      </c>
    </row>
    <row r="37" spans="1:6" x14ac:dyDescent="0.3">
      <c r="A37" s="11" t="s">
        <v>10</v>
      </c>
      <c r="B37" s="12">
        <f>'Operation A'!F29</f>
        <v>318181.81818181823</v>
      </c>
      <c r="C37" s="12">
        <f>B12/2</f>
        <v>1.25E-3</v>
      </c>
      <c r="D37" s="12">
        <f t="shared" si="12"/>
        <v>2498.9941562646086</v>
      </c>
      <c r="E37" s="12">
        <v>0.7</v>
      </c>
      <c r="F37" s="12">
        <f t="shared" si="13"/>
        <v>1749.295909385226</v>
      </c>
    </row>
    <row r="38" spans="1:6" x14ac:dyDescent="0.3">
      <c r="A38" s="12"/>
      <c r="B38" s="12">
        <f>SUM(B33:B37)</f>
        <v>7325465.301159746</v>
      </c>
      <c r="C38" s="12"/>
      <c r="D38" s="12">
        <f>SUM(D33:D37)</f>
        <v>21877.768284705438</v>
      </c>
      <c r="E38" s="12"/>
      <c r="F38" s="11">
        <f>SUM(F33:F37)</f>
        <v>7562.9281479174742</v>
      </c>
    </row>
    <row r="40" spans="1:6" x14ac:dyDescent="0.3">
      <c r="A40" s="19" t="s">
        <v>53</v>
      </c>
      <c r="B40" s="26">
        <f>F38/B31</f>
        <v>302.51712591669894</v>
      </c>
    </row>
    <row r="41" spans="1:6" x14ac:dyDescent="0.3">
      <c r="A41" s="19" t="s">
        <v>82</v>
      </c>
      <c r="B41" s="18">
        <f>B40*5</f>
        <v>1512.5856295834947</v>
      </c>
    </row>
    <row r="42" spans="1:6" x14ac:dyDescent="0.3">
      <c r="A42" s="15" t="s">
        <v>84</v>
      </c>
      <c r="B42" s="16">
        <v>1</v>
      </c>
    </row>
    <row r="43" spans="1:6" x14ac:dyDescent="0.3">
      <c r="A43" s="15" t="s">
        <v>85</v>
      </c>
      <c r="B43" s="16">
        <v>0.5</v>
      </c>
    </row>
    <row r="44" spans="1:6" x14ac:dyDescent="0.3">
      <c r="A44" s="15" t="s">
        <v>86</v>
      </c>
      <c r="B44" s="16">
        <v>0.4</v>
      </c>
    </row>
    <row r="45" spans="1:6" x14ac:dyDescent="0.3">
      <c r="A45" s="15" t="s">
        <v>77</v>
      </c>
      <c r="B45" s="16">
        <v>10</v>
      </c>
      <c r="C45" s="29" t="s">
        <v>76</v>
      </c>
    </row>
    <row r="46" spans="1:6" x14ac:dyDescent="0.3">
      <c r="A46" s="15" t="s">
        <v>81</v>
      </c>
      <c r="B46" s="16">
        <v>8</v>
      </c>
      <c r="C46" s="29"/>
    </row>
    <row r="47" spans="1:6" x14ac:dyDescent="0.3">
      <c r="A47" s="15" t="s">
        <v>83</v>
      </c>
      <c r="B47" s="16">
        <f>B41/(B46*B45)*(B43*B42)</f>
        <v>9.453660184896842</v>
      </c>
    </row>
    <row r="48" spans="1:6" x14ac:dyDescent="0.3">
      <c r="C48">
        <f>B47*E28</f>
        <v>274.15614536200843</v>
      </c>
    </row>
  </sheetData>
  <hyperlinks>
    <hyperlink ref="C45" r:id="rId1" xr:uid="{C783928A-9922-4B68-83E7-DFACC918A1A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7A1-F2D4-4C77-BF2A-5CA75B16B048}">
  <sheetPr>
    <pageSetUpPr fitToPage="1"/>
  </sheetPr>
  <dimension ref="A1:F45"/>
  <sheetViews>
    <sheetView tabSelected="1" topLeftCell="A22" workbookViewId="0">
      <selection activeCell="D44" sqref="D44"/>
    </sheetView>
  </sheetViews>
  <sheetFormatPr defaultRowHeight="14.4" x14ac:dyDescent="0.3"/>
  <cols>
    <col min="1" max="1" width="37.109375" bestFit="1" customWidth="1"/>
    <col min="2" max="2" width="22.33203125" bestFit="1" customWidth="1"/>
    <col min="3" max="3" width="26.88671875" bestFit="1" customWidth="1"/>
    <col min="4" max="4" width="27.77734375" customWidth="1"/>
    <col min="5" max="5" width="24.5546875" bestFit="1" customWidth="1"/>
    <col min="6" max="6" width="19.33203125" bestFit="1" customWidth="1"/>
    <col min="7" max="7" width="16.21875" bestFit="1" customWidth="1"/>
    <col min="8" max="8" width="23.44140625" bestFit="1" customWidth="1"/>
  </cols>
  <sheetData>
    <row r="1" spans="1:5" x14ac:dyDescent="0.3">
      <c r="A1" s="3" t="s">
        <v>38</v>
      </c>
      <c r="B1">
        <v>50</v>
      </c>
      <c r="D1" s="3"/>
    </row>
    <row r="2" spans="1:5" x14ac:dyDescent="0.3">
      <c r="A2" s="3" t="s">
        <v>39</v>
      </c>
      <c r="B2">
        <f>B1/1000000</f>
        <v>5.0000000000000002E-5</v>
      </c>
    </row>
    <row r="3" spans="1:5" x14ac:dyDescent="0.3">
      <c r="A3" s="3" t="s">
        <v>32</v>
      </c>
      <c r="B3">
        <f>'Operation A'!C30</f>
        <v>7032.4466891133561</v>
      </c>
    </row>
    <row r="4" spans="1:5" x14ac:dyDescent="0.3">
      <c r="A4" s="3" t="s">
        <v>62</v>
      </c>
      <c r="B4">
        <v>7.14</v>
      </c>
      <c r="D4" s="3" t="s">
        <v>34</v>
      </c>
      <c r="E4">
        <f>PI()</f>
        <v>3.1415926535897931</v>
      </c>
    </row>
    <row r="5" spans="1:5" x14ac:dyDescent="0.3">
      <c r="A5" s="3" t="s">
        <v>80</v>
      </c>
      <c r="B5">
        <v>357</v>
      </c>
      <c r="D5" s="3"/>
    </row>
    <row r="6" spans="1:5" ht="15" thickBot="1" x14ac:dyDescent="0.35"/>
    <row r="7" spans="1:5" x14ac:dyDescent="0.3">
      <c r="A7" s="37"/>
      <c r="B7" s="38" t="s">
        <v>33</v>
      </c>
      <c r="C7" s="38" t="s">
        <v>35</v>
      </c>
      <c r="D7" s="38" t="s">
        <v>36</v>
      </c>
      <c r="E7" s="39" t="s">
        <v>37</v>
      </c>
    </row>
    <row r="8" spans="1:5" x14ac:dyDescent="0.3">
      <c r="A8" s="33" t="s">
        <v>6</v>
      </c>
      <c r="B8">
        <v>5.9999999999999995E-4</v>
      </c>
      <c r="C8" s="27">
        <f>((B8+$B$2)/2)*2*$E$4</f>
        <v>2.0420352248333652E-3</v>
      </c>
      <c r="D8">
        <f>C8*$B$5*$B$4*100</f>
        <v>520.51069473957511</v>
      </c>
      <c r="E8" s="34">
        <f>(D8*1000)/1000</f>
        <v>520.51069473957511</v>
      </c>
    </row>
    <row r="9" spans="1:5" x14ac:dyDescent="0.3">
      <c r="A9" s="33" t="s">
        <v>7</v>
      </c>
      <c r="B9">
        <v>8.9999999999999998E-4</v>
      </c>
      <c r="C9" s="27">
        <f t="shared" ref="C9:C12" si="0">((B9+$B$2)/2)*2*$E$4</f>
        <v>2.9845130209103033E-3</v>
      </c>
      <c r="D9">
        <f t="shared" ref="D9:D12" si="1">C9*$B$5*$B$4*100</f>
        <v>760.74640000399449</v>
      </c>
      <c r="E9" s="34">
        <f t="shared" ref="E9:E12" si="2">(D9*1000)/1000</f>
        <v>760.74640000399449</v>
      </c>
    </row>
    <row r="10" spans="1:5" x14ac:dyDescent="0.3">
      <c r="A10" s="33" t="s">
        <v>8</v>
      </c>
      <c r="B10">
        <v>1.8E-3</v>
      </c>
      <c r="C10" s="27">
        <f t="shared" si="0"/>
        <v>5.8119464091411169E-3</v>
      </c>
      <c r="D10">
        <f t="shared" si="1"/>
        <v>1481.4535157972523</v>
      </c>
      <c r="E10" s="34">
        <f t="shared" si="2"/>
        <v>1481.4535157972523</v>
      </c>
    </row>
    <row r="11" spans="1:5" x14ac:dyDescent="0.3">
      <c r="A11" s="33" t="s">
        <v>9</v>
      </c>
      <c r="B11">
        <v>1.8E-3</v>
      </c>
      <c r="C11" s="27">
        <f t="shared" si="0"/>
        <v>5.8119464091411169E-3</v>
      </c>
      <c r="D11">
        <f t="shared" si="1"/>
        <v>1481.4535157972523</v>
      </c>
      <c r="E11" s="34">
        <f t="shared" si="2"/>
        <v>1481.4535157972523</v>
      </c>
    </row>
    <row r="12" spans="1:5" x14ac:dyDescent="0.3">
      <c r="A12" s="33" t="s">
        <v>10</v>
      </c>
      <c r="B12">
        <v>2.5000000000000001E-3</v>
      </c>
      <c r="C12" s="27">
        <f t="shared" si="0"/>
        <v>8.0110612666539731E-3</v>
      </c>
      <c r="D12">
        <f t="shared" si="1"/>
        <v>2042.0034947475642</v>
      </c>
      <c r="E12" s="34">
        <f t="shared" si="2"/>
        <v>2042.0034947475642</v>
      </c>
    </row>
    <row r="13" spans="1:5" ht="15" thickBot="1" x14ac:dyDescent="0.35">
      <c r="A13" s="40" t="s">
        <v>20</v>
      </c>
      <c r="B13" s="54"/>
      <c r="C13" s="55"/>
      <c r="D13" s="55"/>
      <c r="E13" s="56">
        <f>SUM(E8:E12)</f>
        <v>6286.1676210856385</v>
      </c>
    </row>
    <row r="15" spans="1:5" x14ac:dyDescent="0.3">
      <c r="A15" s="3" t="s">
        <v>88</v>
      </c>
    </row>
    <row r="16" spans="1:5" x14ac:dyDescent="0.3">
      <c r="A16" s="3" t="s">
        <v>40</v>
      </c>
      <c r="B16">
        <v>100</v>
      </c>
    </row>
    <row r="17" spans="1:6" x14ac:dyDescent="0.3">
      <c r="A17" s="3" t="s">
        <v>41</v>
      </c>
      <c r="B17">
        <v>5</v>
      </c>
    </row>
    <row r="18" spans="1:6" x14ac:dyDescent="0.3">
      <c r="A18" s="3" t="s">
        <v>42</v>
      </c>
      <c r="B18">
        <v>3</v>
      </c>
    </row>
    <row r="19" spans="1:6" x14ac:dyDescent="0.3">
      <c r="A19" s="3" t="s">
        <v>48</v>
      </c>
      <c r="B19">
        <v>600</v>
      </c>
    </row>
    <row r="20" spans="1:6" ht="15" thickBot="1" x14ac:dyDescent="0.35"/>
    <row r="21" spans="1:6" x14ac:dyDescent="0.3">
      <c r="A21" s="37"/>
      <c r="B21" s="38" t="s">
        <v>57</v>
      </c>
      <c r="C21" s="38" t="s">
        <v>56</v>
      </c>
      <c r="D21" s="38" t="s">
        <v>58</v>
      </c>
      <c r="E21" s="49" t="s">
        <v>54</v>
      </c>
      <c r="F21" t="s">
        <v>70</v>
      </c>
    </row>
    <row r="22" spans="1:6" x14ac:dyDescent="0.3">
      <c r="A22" s="33" t="s">
        <v>6</v>
      </c>
      <c r="B22">
        <v>4000000</v>
      </c>
      <c r="C22">
        <f>B22/220</f>
        <v>18181.81818181818</v>
      </c>
      <c r="D22">
        <f>C22/7</f>
        <v>2597.4025974025972</v>
      </c>
      <c r="E22" s="34">
        <f>D22/$B$19/4</f>
        <v>1.0822510822510822</v>
      </c>
    </row>
    <row r="23" spans="1:6" x14ac:dyDescent="0.3">
      <c r="A23" s="33" t="s">
        <v>7</v>
      </c>
      <c r="B23">
        <v>5500000</v>
      </c>
      <c r="C23">
        <f t="shared" ref="C23:C26" si="3">B23/220</f>
        <v>25000</v>
      </c>
      <c r="D23">
        <f t="shared" ref="D23:D26" si="4">C23/7</f>
        <v>3571.4285714285716</v>
      </c>
      <c r="E23" s="34">
        <f t="shared" ref="E23:E26" si="5">D23/$B$19/4</f>
        <v>1.4880952380952381</v>
      </c>
    </row>
    <row r="24" spans="1:6" x14ac:dyDescent="0.3">
      <c r="A24" s="33" t="s">
        <v>8</v>
      </c>
      <c r="B24">
        <v>2500000</v>
      </c>
      <c r="C24">
        <f t="shared" si="3"/>
        <v>11363.636363636364</v>
      </c>
      <c r="D24">
        <f t="shared" si="4"/>
        <v>1623.3766233766235</v>
      </c>
      <c r="E24" s="34">
        <f t="shared" si="5"/>
        <v>0.67640692640692646</v>
      </c>
    </row>
    <row r="25" spans="1:6" x14ac:dyDescent="0.3">
      <c r="A25" s="33" t="s">
        <v>9</v>
      </c>
      <c r="B25">
        <v>8000000</v>
      </c>
      <c r="C25">
        <f t="shared" si="3"/>
        <v>36363.63636363636</v>
      </c>
      <c r="D25">
        <f t="shared" si="4"/>
        <v>5194.8051948051943</v>
      </c>
      <c r="E25" s="34">
        <f t="shared" si="5"/>
        <v>2.1645021645021645</v>
      </c>
    </row>
    <row r="26" spans="1:6" x14ac:dyDescent="0.3">
      <c r="A26" s="33" t="s">
        <v>10</v>
      </c>
      <c r="B26">
        <v>6000000</v>
      </c>
      <c r="C26">
        <f t="shared" si="3"/>
        <v>27272.727272727272</v>
      </c>
      <c r="D26">
        <f t="shared" si="4"/>
        <v>3896.1038961038962</v>
      </c>
      <c r="E26" s="34">
        <f t="shared" si="5"/>
        <v>1.6233766233766234</v>
      </c>
    </row>
    <row r="27" spans="1:6" ht="15" thickBot="1" x14ac:dyDescent="0.35">
      <c r="A27" s="57"/>
      <c r="B27" s="47">
        <f>SUM(B22:B26)</f>
        <v>26000000</v>
      </c>
      <c r="C27" s="47">
        <f t="shared" ref="C27:D27" si="6">SUM(C22:C26)</f>
        <v>118181.81818181818</v>
      </c>
      <c r="D27" s="47">
        <f t="shared" si="6"/>
        <v>16883.116883116883</v>
      </c>
      <c r="E27" s="44">
        <v>7</v>
      </c>
    </row>
    <row r="29" spans="1:6" ht="15" thickBot="1" x14ac:dyDescent="0.35">
      <c r="A29" s="3" t="s">
        <v>49</v>
      </c>
      <c r="B29">
        <v>25</v>
      </c>
    </row>
    <row r="30" spans="1:6" x14ac:dyDescent="0.3">
      <c r="A30" s="58"/>
      <c r="B30" s="38" t="s">
        <v>66</v>
      </c>
      <c r="C30" s="38" t="s">
        <v>69</v>
      </c>
      <c r="D30" s="38" t="s">
        <v>67</v>
      </c>
      <c r="E30" s="38" t="s">
        <v>68</v>
      </c>
      <c r="F30" s="39" t="s">
        <v>78</v>
      </c>
    </row>
    <row r="31" spans="1:6" x14ac:dyDescent="0.3">
      <c r="A31" s="33" t="s">
        <v>6</v>
      </c>
      <c r="B31" s="82">
        <v>3682659.9326599333</v>
      </c>
      <c r="C31" s="82">
        <v>2.9999999999999997E-4</v>
      </c>
      <c r="D31" s="82">
        <v>6941.6504340683568</v>
      </c>
      <c r="E31" s="82">
        <v>0.3</v>
      </c>
      <c r="F31" s="83">
        <v>2082.4951302205068</v>
      </c>
    </row>
    <row r="32" spans="1:6" x14ac:dyDescent="0.3">
      <c r="A32" s="33" t="s">
        <v>7</v>
      </c>
      <c r="B32" s="82">
        <v>2250514.4032921814</v>
      </c>
      <c r="C32" s="82">
        <v>4.4999999999999999E-4</v>
      </c>
      <c r="D32" s="82">
        <v>6363.1795645626607</v>
      </c>
      <c r="E32" s="82">
        <v>0.3</v>
      </c>
      <c r="F32" s="83">
        <v>1908.9538693687982</v>
      </c>
    </row>
    <row r="33" spans="1:6" x14ac:dyDescent="0.3">
      <c r="A33" s="33" t="s">
        <v>8</v>
      </c>
      <c r="B33" s="82">
        <v>255740.27310138426</v>
      </c>
      <c r="C33" s="82">
        <v>8.9999999999999998E-4</v>
      </c>
      <c r="D33" s="82">
        <v>1446.1771737642409</v>
      </c>
      <c r="E33" s="82">
        <v>0.3</v>
      </c>
      <c r="F33" s="83">
        <v>433.85315212927225</v>
      </c>
    </row>
    <row r="34" spans="1:6" x14ac:dyDescent="0.3">
      <c r="A34" s="33" t="s">
        <v>9</v>
      </c>
      <c r="B34" s="82">
        <v>818368.87392442953</v>
      </c>
      <c r="C34" s="82">
        <v>8.9999999999999998E-4</v>
      </c>
      <c r="D34" s="82">
        <v>4627.7669560455706</v>
      </c>
      <c r="E34" s="82">
        <v>0.3</v>
      </c>
      <c r="F34" s="83">
        <v>1388.3300868136712</v>
      </c>
    </row>
    <row r="35" spans="1:6" x14ac:dyDescent="0.3">
      <c r="A35" s="33" t="s">
        <v>10</v>
      </c>
      <c r="B35" s="82">
        <v>318181.81818181823</v>
      </c>
      <c r="C35" s="82">
        <v>1.25E-3</v>
      </c>
      <c r="D35" s="82">
        <v>2498.9941562646086</v>
      </c>
      <c r="E35" s="82">
        <v>0.7</v>
      </c>
      <c r="F35" s="83">
        <v>1749.295909385226</v>
      </c>
    </row>
    <row r="36" spans="1:6" ht="15" thickBot="1" x14ac:dyDescent="0.35">
      <c r="A36" s="57"/>
      <c r="B36" s="84">
        <v>7325465.301159746</v>
      </c>
      <c r="C36" s="84"/>
      <c r="D36" s="84">
        <v>21877.768284705438</v>
      </c>
      <c r="E36" s="84"/>
      <c r="F36" s="85">
        <v>7562.9281479174742</v>
      </c>
    </row>
    <row r="38" spans="1:6" x14ac:dyDescent="0.3">
      <c r="A38" s="3" t="s">
        <v>53</v>
      </c>
      <c r="B38" s="27">
        <f>F36/B29</f>
        <v>302.51712591669894</v>
      </c>
    </row>
    <row r="39" spans="1:6" x14ac:dyDescent="0.3">
      <c r="A39" s="3" t="s">
        <v>82</v>
      </c>
      <c r="B39">
        <f>B38*5</f>
        <v>1512.5856295834947</v>
      </c>
    </row>
    <row r="40" spans="1:6" x14ac:dyDescent="0.3">
      <c r="A40" s="3" t="s">
        <v>84</v>
      </c>
      <c r="B40">
        <v>1</v>
      </c>
    </row>
    <row r="41" spans="1:6" x14ac:dyDescent="0.3">
      <c r="A41" s="3" t="s">
        <v>85</v>
      </c>
      <c r="B41">
        <v>0.5</v>
      </c>
    </row>
    <row r="42" spans="1:6" x14ac:dyDescent="0.3">
      <c r="A42" s="3" t="s">
        <v>86</v>
      </c>
      <c r="B42">
        <v>0.4</v>
      </c>
    </row>
    <row r="43" spans="1:6" x14ac:dyDescent="0.3">
      <c r="A43" s="3" t="s">
        <v>77</v>
      </c>
      <c r="B43">
        <v>10</v>
      </c>
      <c r="C43" s="53"/>
    </row>
    <row r="44" spans="1:6" x14ac:dyDescent="0.3">
      <c r="A44" s="3" t="s">
        <v>81</v>
      </c>
      <c r="B44">
        <v>8</v>
      </c>
      <c r="C44" s="53"/>
    </row>
    <row r="45" spans="1:6" x14ac:dyDescent="0.3">
      <c r="A45" s="3" t="s">
        <v>83</v>
      </c>
      <c r="B45">
        <f>B39/(B44*B43)*(B41*B40)</f>
        <v>9.453660184896842</v>
      </c>
    </row>
  </sheetData>
  <pageMargins left="0.7" right="0.7" top="0.75" bottom="0.75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</vt:lpstr>
      <vt:lpstr>Storage</vt:lpstr>
      <vt:lpstr>Storage Appendix</vt:lpstr>
      <vt:lpstr>Operation A</vt:lpstr>
      <vt:lpstr>Op.A Appendix</vt:lpstr>
      <vt:lpstr>Operation B</vt:lpstr>
      <vt:lpstr>Op.B 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van Dyk</dc:creator>
  <cp:lastModifiedBy>Karla van Dyk</cp:lastModifiedBy>
  <cp:lastPrinted>2025-05-04T14:01:13Z</cp:lastPrinted>
  <dcterms:created xsi:type="dcterms:W3CDTF">2025-03-04T06:22:28Z</dcterms:created>
  <dcterms:modified xsi:type="dcterms:W3CDTF">2025-05-04T14:01:16Z</dcterms:modified>
</cp:coreProperties>
</file>