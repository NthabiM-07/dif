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e0a668e06e192c/Desktop/2025/INGB417/GA3/"/>
    </mc:Choice>
  </mc:AlternateContent>
  <xr:revisionPtr revIDLastSave="1222" documentId="8_{2DAB8FAF-9BA4-47BD-89D4-81E5CC80DCB2}" xr6:coauthVersionLast="47" xr6:coauthVersionMax="47" xr10:uidLastSave="{D25B687A-E59A-46B3-9711-71E6A1D66E0D}"/>
  <bookViews>
    <workbookView xWindow="-108" yWindow="-108" windowWidth="23256" windowHeight="12456" xr2:uid="{B2C95B48-B08C-42DC-848E-8E344D4035EC}"/>
  </bookViews>
  <sheets>
    <sheet name="Costs" sheetId="7" r:id="rId1"/>
    <sheet name="Demand" sheetId="2" r:id="rId2"/>
    <sheet name="Machines" sheetId="3" r:id="rId3"/>
    <sheet name="Storage" sheetId="4" r:id="rId4"/>
    <sheet name="Areas" sheetId="5" r:id="rId5"/>
    <sheet name="Metres-Bars per unit" sheetId="1" r:id="rId6"/>
    <sheet name="Evaluation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7" l="1"/>
  <c r="D31" i="7"/>
  <c r="D27" i="7"/>
  <c r="D25" i="7"/>
  <c r="D24" i="7"/>
  <c r="D19" i="7"/>
  <c r="D20" i="7"/>
  <c r="D21" i="7"/>
  <c r="D22" i="7"/>
  <c r="D23" i="7"/>
  <c r="D26" i="7"/>
  <c r="D28" i="7"/>
  <c r="D29" i="7"/>
  <c r="C17" i="7"/>
  <c r="D17" i="7" s="1"/>
  <c r="F42" i="4"/>
  <c r="F43" i="4"/>
  <c r="D40" i="4"/>
  <c r="D39" i="4"/>
  <c r="F39" i="4" s="1"/>
  <c r="D36" i="4"/>
  <c r="F36" i="4" s="1"/>
  <c r="D37" i="4"/>
  <c r="F37" i="4" s="1"/>
  <c r="D38" i="4"/>
  <c r="F38" i="4" s="1"/>
  <c r="D35" i="4"/>
  <c r="F35" i="4" s="1"/>
  <c r="F40" i="4" s="1"/>
  <c r="D18" i="7"/>
  <c r="D16" i="7"/>
  <c r="D10" i="7"/>
  <c r="D9" i="7"/>
  <c r="D8" i="7"/>
  <c r="D7" i="7"/>
  <c r="D6" i="7"/>
  <c r="D5" i="7"/>
  <c r="D4" i="7"/>
  <c r="D3" i="7"/>
  <c r="D2" i="7"/>
  <c r="D11" i="7" l="1"/>
  <c r="D12" i="7" s="1"/>
  <c r="B7" i="5" l="1"/>
  <c r="B6" i="5"/>
  <c r="D6" i="5" s="1"/>
  <c r="E6" i="5" s="1"/>
  <c r="A10" i="4"/>
  <c r="A9" i="4"/>
  <c r="A8" i="4"/>
  <c r="A7" i="4"/>
  <c r="A6" i="4"/>
  <c r="A5" i="4"/>
  <c r="A4" i="4"/>
  <c r="A3" i="4"/>
  <c r="F24" i="3"/>
  <c r="G12" i="6"/>
  <c r="E12" i="6"/>
  <c r="C12" i="6"/>
  <c r="B12" i="6"/>
  <c r="D11" i="6"/>
  <c r="D12" i="6" s="1"/>
  <c r="F11" i="6"/>
  <c r="H11" i="6"/>
  <c r="H12" i="6" s="1"/>
  <c r="H4" i="6"/>
  <c r="H5" i="6"/>
  <c r="H6" i="6"/>
  <c r="H7" i="6"/>
  <c r="H8" i="6"/>
  <c r="H9" i="6"/>
  <c r="H10" i="6"/>
  <c r="F4" i="6"/>
  <c r="F5" i="6"/>
  <c r="F6" i="6"/>
  <c r="F7" i="6"/>
  <c r="F8" i="6"/>
  <c r="F9" i="6"/>
  <c r="F10" i="6"/>
  <c r="H3" i="6"/>
  <c r="F3" i="6"/>
  <c r="D4" i="6"/>
  <c r="D5" i="6"/>
  <c r="D6" i="6"/>
  <c r="D7" i="6"/>
  <c r="D8" i="6"/>
  <c r="D9" i="6"/>
  <c r="D10" i="6"/>
  <c r="D3" i="6"/>
  <c r="G23" i="5"/>
  <c r="K34" i="5"/>
  <c r="D7" i="5"/>
  <c r="E7" i="5" s="1"/>
  <c r="AA6" i="5"/>
  <c r="Z6" i="5"/>
  <c r="AB6" i="5" s="1"/>
  <c r="D14" i="5" s="1"/>
  <c r="E14" i="5" s="1"/>
  <c r="Z3" i="5"/>
  <c r="H37" i="5"/>
  <c r="E37" i="5"/>
  <c r="E36" i="5"/>
  <c r="B3" i="5" s="1"/>
  <c r="D3" i="5" s="1"/>
  <c r="E3" i="5" s="1"/>
  <c r="C34" i="5"/>
  <c r="E31" i="5"/>
  <c r="E30" i="5"/>
  <c r="B32" i="5"/>
  <c r="E32" i="5" s="1"/>
  <c r="E33" i="5" s="1"/>
  <c r="D2" i="5" s="1"/>
  <c r="E8" i="5"/>
  <c r="E16" i="5"/>
  <c r="E17" i="5"/>
  <c r="B11" i="5"/>
  <c r="D11" i="5" s="1"/>
  <c r="E11" i="5" s="1"/>
  <c r="B15" i="5"/>
  <c r="D15" i="5" s="1"/>
  <c r="E15" i="5" s="1"/>
  <c r="B5" i="5"/>
  <c r="B8" i="5"/>
  <c r="D8" i="5" s="1"/>
  <c r="X9" i="5"/>
  <c r="U11" i="5"/>
  <c r="X11" i="5" s="1"/>
  <c r="V10" i="5"/>
  <c r="X10" i="5" s="1"/>
  <c r="D19" i="5"/>
  <c r="E19" i="5" s="1"/>
  <c r="X7" i="5"/>
  <c r="X6" i="5"/>
  <c r="X4" i="5"/>
  <c r="X3" i="5"/>
  <c r="V5" i="5"/>
  <c r="X5" i="5" s="1"/>
  <c r="C13" i="5"/>
  <c r="F24" i="5"/>
  <c r="B24" i="5"/>
  <c r="E23" i="5"/>
  <c r="F23" i="5" s="1"/>
  <c r="A23" i="5"/>
  <c r="B12" i="5"/>
  <c r="D12" i="5" s="1"/>
  <c r="E12" i="5" s="1"/>
  <c r="B10" i="5"/>
  <c r="D10" i="5" s="1"/>
  <c r="E10" i="5" s="1"/>
  <c r="B9" i="5"/>
  <c r="D9" i="5" s="1"/>
  <c r="E9" i="5" s="1"/>
  <c r="D5" i="5"/>
  <c r="E5" i="5" s="1"/>
  <c r="B4" i="5"/>
  <c r="D4" i="5" s="1"/>
  <c r="E4" i="5" s="1"/>
  <c r="D16" i="5"/>
  <c r="D17" i="5"/>
  <c r="D18" i="5"/>
  <c r="E18" i="5" s="1"/>
  <c r="D20" i="5"/>
  <c r="E20" i="5" s="1"/>
  <c r="T24" i="4"/>
  <c r="S23" i="4"/>
  <c r="T23" i="4" s="1"/>
  <c r="P24" i="4"/>
  <c r="O23" i="4"/>
  <c r="O20" i="4"/>
  <c r="O21" i="4" s="1"/>
  <c r="O19" i="4"/>
  <c r="K31" i="4"/>
  <c r="H25" i="4"/>
  <c r="J25" i="4"/>
  <c r="I26" i="4"/>
  <c r="I27" i="4"/>
  <c r="I28" i="4"/>
  <c r="I25" i="4"/>
  <c r="H26" i="4"/>
  <c r="H27" i="4"/>
  <c r="H28" i="4"/>
  <c r="J28" i="4" s="1"/>
  <c r="D25" i="4"/>
  <c r="K25" i="4" s="1"/>
  <c r="C26" i="4"/>
  <c r="D26" i="4" s="1"/>
  <c r="C27" i="4"/>
  <c r="D27" i="4" s="1"/>
  <c r="C28" i="4"/>
  <c r="D28" i="4" s="1"/>
  <c r="K28" i="4" s="1"/>
  <c r="C25" i="4"/>
  <c r="I22" i="2"/>
  <c r="K14" i="4"/>
  <c r="D22" i="4"/>
  <c r="D20" i="4"/>
  <c r="D14" i="4"/>
  <c r="D15" i="4"/>
  <c r="D16" i="4"/>
  <c r="D17" i="4"/>
  <c r="D18" i="4"/>
  <c r="D19" i="4"/>
  <c r="D13" i="4"/>
  <c r="F4" i="4"/>
  <c r="K4" i="4" s="1"/>
  <c r="M4" i="4" s="1"/>
  <c r="N4" i="4" s="1"/>
  <c r="F5" i="4"/>
  <c r="K5" i="4" s="1"/>
  <c r="M5" i="4" s="1"/>
  <c r="F6" i="4"/>
  <c r="K6" i="4" s="1"/>
  <c r="M6" i="4" s="1"/>
  <c r="F7" i="4"/>
  <c r="K7" i="4" s="1"/>
  <c r="M7" i="4" s="1"/>
  <c r="N7" i="4" s="1"/>
  <c r="F8" i="4"/>
  <c r="K8" i="4" s="1"/>
  <c r="M8" i="4" s="1"/>
  <c r="F9" i="4"/>
  <c r="K9" i="4" s="1"/>
  <c r="M9" i="4" s="1"/>
  <c r="F10" i="4"/>
  <c r="K10" i="4" s="1"/>
  <c r="M10" i="4" s="1"/>
  <c r="N10" i="4" s="1"/>
  <c r="F3" i="4"/>
  <c r="K3" i="4" s="1"/>
  <c r="M3" i="4" s="1"/>
  <c r="N3" i="4" s="1"/>
  <c r="G27" i="2"/>
  <c r="G28" i="2"/>
  <c r="G24" i="2"/>
  <c r="G25" i="2"/>
  <c r="G26" i="2"/>
  <c r="G23" i="2"/>
  <c r="G22" i="2"/>
  <c r="C26" i="2"/>
  <c r="C24" i="2"/>
  <c r="C25" i="2"/>
  <c r="C23" i="2"/>
  <c r="C22" i="2"/>
  <c r="L18" i="2"/>
  <c r="B14" i="2"/>
  <c r="B20" i="2"/>
  <c r="E7" i="2"/>
  <c r="H16" i="2"/>
  <c r="C16" i="2"/>
  <c r="Q7" i="2"/>
  <c r="S7" i="2" s="1"/>
  <c r="N14" i="2"/>
  <c r="C1" i="3"/>
  <c r="E17" i="3"/>
  <c r="E11" i="3"/>
  <c r="E9" i="3"/>
  <c r="M13" i="2"/>
  <c r="L14" i="2" s="1"/>
  <c r="H14" i="2"/>
  <c r="H15" i="2"/>
  <c r="H17" i="2"/>
  <c r="H18" i="2"/>
  <c r="H19" i="2"/>
  <c r="H13" i="2"/>
  <c r="G20" i="2"/>
  <c r="E18" i="2"/>
  <c r="E15" i="2"/>
  <c r="C14" i="2"/>
  <c r="E14" i="2"/>
  <c r="C15" i="2"/>
  <c r="C13" i="2"/>
  <c r="C18" i="2"/>
  <c r="B3" i="2"/>
  <c r="E8" i="2" s="1"/>
  <c r="E17" i="2" s="1"/>
  <c r="E7" i="1"/>
  <c r="D7" i="1"/>
  <c r="F3" i="1"/>
  <c r="F7" i="1"/>
  <c r="G3" i="1"/>
  <c r="G7" i="1" s="1"/>
  <c r="E4" i="1"/>
  <c r="E5" i="1"/>
  <c r="C4" i="1"/>
  <c r="C6" i="1"/>
  <c r="B5" i="1"/>
  <c r="C5" i="1" s="1"/>
  <c r="D3" i="1"/>
  <c r="B3" i="1"/>
  <c r="B7" i="1" s="1"/>
  <c r="B9" i="1" s="1"/>
  <c r="C9" i="1" s="1"/>
  <c r="H29" i="4" l="1"/>
  <c r="J27" i="4"/>
  <c r="J26" i="4"/>
  <c r="K26" i="4" s="1"/>
  <c r="I29" i="4"/>
  <c r="P26" i="4"/>
  <c r="R26" i="4" s="1"/>
  <c r="K27" i="4"/>
  <c r="D29" i="4"/>
  <c r="N9" i="4"/>
  <c r="N8" i="4"/>
  <c r="N6" i="4"/>
  <c r="N5" i="4"/>
  <c r="N11" i="4" s="1"/>
  <c r="F12" i="6"/>
  <c r="B2" i="5"/>
  <c r="E2" i="5"/>
  <c r="B14" i="5"/>
  <c r="X8" i="5"/>
  <c r="D13" i="5"/>
  <c r="E13" i="5" s="1"/>
  <c r="B13" i="5"/>
  <c r="B26" i="5"/>
  <c r="D26" i="5" s="1"/>
  <c r="F16" i="3"/>
  <c r="F26" i="3"/>
  <c r="F27" i="3" s="1"/>
  <c r="H20" i="2"/>
  <c r="L15" i="2"/>
  <c r="R7" i="2"/>
  <c r="F28" i="3"/>
  <c r="F29" i="3" s="1"/>
  <c r="F30" i="3"/>
  <c r="F31" i="3" s="1"/>
  <c r="F19" i="3"/>
  <c r="F20" i="3" s="1"/>
  <c r="F21" i="3"/>
  <c r="F22" i="3" s="1"/>
  <c r="F14" i="3"/>
  <c r="F15" i="3" s="1"/>
  <c r="F23" i="3"/>
  <c r="F25" i="3" s="1"/>
  <c r="F17" i="3"/>
  <c r="F18" i="3" s="1"/>
  <c r="F5" i="3"/>
  <c r="F7" i="3"/>
  <c r="F8" i="3" s="1"/>
  <c r="F11" i="3"/>
  <c r="F12" i="3" s="1"/>
  <c r="F13" i="3" s="1"/>
  <c r="F9" i="3"/>
  <c r="F10" i="3" s="1"/>
  <c r="F4" i="3"/>
  <c r="F8" i="2"/>
  <c r="G8" i="2" s="1"/>
  <c r="N10" i="2"/>
  <c r="O10" i="2" s="1"/>
  <c r="P10" i="2" s="1"/>
  <c r="K9" i="2"/>
  <c r="L9" i="2" s="1"/>
  <c r="M9" i="2" s="1"/>
  <c r="B7" i="2"/>
  <c r="H7" i="2"/>
  <c r="I7" i="2" s="1"/>
  <c r="J7" i="2" s="1"/>
  <c r="F7" i="2"/>
  <c r="G7" i="2" s="1"/>
  <c r="E3" i="1"/>
  <c r="C3" i="1"/>
  <c r="C7" i="1" s="1"/>
  <c r="B10" i="1" s="1"/>
  <c r="K29" i="4" l="1"/>
  <c r="L29" i="4" s="1"/>
  <c r="D21" i="5"/>
  <c r="E21" i="5" s="1"/>
  <c r="F6" i="3"/>
  <c r="D36" i="3" s="1"/>
  <c r="D43" i="3" s="1"/>
  <c r="C7" i="2"/>
  <c r="D7" i="2"/>
</calcChain>
</file>

<file path=xl/sharedStrings.xml><?xml version="1.0" encoding="utf-8"?>
<sst xmlns="http://schemas.openxmlformats.org/spreadsheetml/2006/main" count="339" uniqueCount="251">
  <si>
    <t>Tabletop</t>
  </si>
  <si>
    <t>Insert</t>
  </si>
  <si>
    <t>Flat</t>
  </si>
  <si>
    <t>Round</t>
  </si>
  <si>
    <t>Rectangle</t>
  </si>
  <si>
    <t>Bars</t>
  </si>
  <si>
    <t>Metres</t>
  </si>
  <si>
    <t>Square</t>
  </si>
  <si>
    <t>Chairs</t>
  </si>
  <si>
    <t>Metres/unit</t>
  </si>
  <si>
    <t>Bars/unit</t>
  </si>
  <si>
    <t>Monthly Demand</t>
  </si>
  <si>
    <t>Working Days per Month</t>
  </si>
  <si>
    <t>Daily Demand</t>
  </si>
  <si>
    <t>Rectangle Bars</t>
  </si>
  <si>
    <t>Flat Bars</t>
  </si>
  <si>
    <t>Square Tubes</t>
  </si>
  <si>
    <t>Round Tubes</t>
  </si>
  <si>
    <t>Chair</t>
  </si>
  <si>
    <t>1,52m</t>
  </si>
  <si>
    <t>1m</t>
  </si>
  <si>
    <t>0,94m</t>
  </si>
  <si>
    <t>0,7m</t>
  </si>
  <si>
    <t>6m</t>
  </si>
  <si>
    <t>Cut Pieces</t>
  </si>
  <si>
    <t>Bar Length</t>
  </si>
  <si>
    <t>Monthly Demand per unit</t>
  </si>
  <si>
    <t>6m Bars/Tubes</t>
  </si>
  <si>
    <t>Length Utilised per bar</t>
  </si>
  <si>
    <t>Total</t>
  </si>
  <si>
    <t>6x1 (rect)</t>
  </si>
  <si>
    <t>8x0,7 (square)</t>
  </si>
  <si>
    <t>1x6 (round)</t>
  </si>
  <si>
    <t>6x1 (flat)</t>
  </si>
  <si>
    <t>3x1,52 + 1x1 (rect)</t>
  </si>
  <si>
    <t>Pieces x length (in 6m)</t>
  </si>
  <si>
    <t>6x0,94 (rect)</t>
  </si>
  <si>
    <t>With 5% Scrap</t>
  </si>
  <si>
    <t>Slats needed</t>
  </si>
  <si>
    <t>+2m wastage on bar 1042</t>
  </si>
  <si>
    <t>round to 25</t>
  </si>
  <si>
    <t>Process</t>
  </si>
  <si>
    <t>Dimensions</t>
  </si>
  <si>
    <t>Link</t>
  </si>
  <si>
    <t>https://jnlhlaser.en.made-in-china.com/product/BdzaIkZHrcAe/China-Pipe-Fiber-Laser-Cutter-Machines-Linear-Guide-CNC-Precision-Stainless-Steel-Aluminum-Copper-Tube-Bar-Rod-Metal-Laser-Cutting-Machine.html?pv_id=1it4ff56u817&amp;faw_id=1it4ffdod129&amp;bv_id=1it4ffdol0f1&amp;pbv_id=1it4ff38c1dd</t>
  </si>
  <si>
    <t>$21 000</t>
  </si>
  <si>
    <t>8550 mm (length) × 2300 mm (width) × 2000 mm (height)</t>
  </si>
  <si>
    <t>Machines needed</t>
  </si>
  <si>
    <t>Table Cutting</t>
  </si>
  <si>
    <t>Chair Cutting</t>
  </si>
  <si>
    <t>Units Per Day</t>
  </si>
  <si>
    <t>Processing Time (min/unit)</t>
  </si>
  <si>
    <t>https://pdkjwelder.en.made-in-china.com/product/LUBRmxuJUQkE/China-Friendly-Use-Automated-Efficiency-Resistance-Spot-Welder-with-Customized-Automatic-Nuts-Feeding.html?pv_id=1it4nc2hec3e&amp;faw_id=1it4nc4nfc65&amp;bv_id=1it4nca4f8e8&amp;pbv_id=1it4nc11r537</t>
  </si>
  <si>
    <t>Automated Welding</t>
  </si>
  <si>
    <t>Item</t>
  </si>
  <si>
    <t>Slider</t>
  </si>
  <si>
    <t>800*750*650mm</t>
  </si>
  <si>
    <t>$12 000</t>
  </si>
  <si>
    <t>Tabletop frame + bars</t>
  </si>
  <si>
    <t>Manual Welding</t>
  </si>
  <si>
    <t>135*75*135cm</t>
  </si>
  <si>
    <t>Sit nog spasie by vir tafel om te kan manouver. Hierdie is net die welder se size</t>
  </si>
  <si>
    <t>https://zblaser-zgzz.en.made-in-china.com/product/BFqGpXTvZbAR/China-Wire-Feeding-Handheld-Manual-Laser-Welding-Machine-Cheaper-Price-Manual-Laser-Soldering-Machine-for-Sale-Mini-Portable-Hand-Held-Metal-Laser-Welder.html?pv_id=1it4odtb4a05&amp;faw_id=1it4oeblu12a&amp;bv_id=1it4oebm2d4b&amp;pbv_id=1it4ods4035c</t>
  </si>
  <si>
    <t>$2 200</t>
  </si>
  <si>
    <t>Tabletops + legs</t>
  </si>
  <si>
    <t>Twee tops nodig per tafel</t>
  </si>
  <si>
    <t>Manual grinding</t>
  </si>
  <si>
    <t>https://www.google.com/aclk?sa=l&amp;ai=DChsSEwinjeaP9d6NAxXNgFAGHTW8JZ8YACICCAEQAxoCZGc&amp;co=1&amp;gclid=Cj0KCQjwxo_CBhDbARIsADWpDH5KG340ynmtv_DTZMvMacFavuBh_FdHmXTAZLIWDc8eNHZhy39RPkkaAjd0EALw_wcB&amp;sig=AOD64_0UwtzzkmCvSl5x9poBlHS7OaKpig&amp;ctype=5&amp;q=&amp;ved=2ahUKEwithOOP9d6NAxVSVEEAHVuEK4oQ9aACKAB6BAgCEB8&amp;adurl=</t>
  </si>
  <si>
    <t>https://www.google.com/aclk?sa=l&amp;ai=DChsSEwjxyt7m9d6NAxUnmlAGHQOLA68YACICCAEQARoCZGc&amp;co=1&amp;gclid=Cj0KCQjwxo_CBhDbARIsADWpDH5rDSEa8rs6XlX7k0-iXHF5KTdSjR9bM-joRYS-a18wrYVehAkQmRgaAnoWEALw_wcB&amp;sig=AOD64_00d2hq0ygctWJ3JrUx51y6Yj5E-w&amp;ctype=5&amp;q=&amp;ved=2ahUKEwj71trm9d6NAxUSVUEAHafsFUkQww8oAnoECAQQDg&amp;adurl=</t>
  </si>
  <si>
    <t>Manual grinder discs</t>
  </si>
  <si>
    <t>-</t>
  </si>
  <si>
    <t>Area van tabletop met bietjie ekstra</t>
  </si>
  <si>
    <t>https://youlaite.en.made-in-china.com/product/ANVElvKCfShf/China-6-155mm-Electric-Hand-Held-Random-Orbital-Buffer-Polisher-P036-A-.html?pv_id=1it4pctln333&amp;faw_id=1it4pd69a66&amp;bv_id=1it4pd69e3a4&amp;pbv_id=1it4pcsiq53e</t>
  </si>
  <si>
    <t>$10</t>
  </si>
  <si>
    <t>Manual Polishing</t>
  </si>
  <si>
    <t>Automated Powder Coating</t>
  </si>
  <si>
    <t>Productivity (min)</t>
  </si>
  <si>
    <t>30sec vir item om deur te gaan so dit is 30sec vir eerste item+10sec vir addidionele 6 items</t>
  </si>
  <si>
    <t>Changeover time?</t>
  </si>
  <si>
    <t>30m*20m*3m</t>
  </si>
  <si>
    <t>https://tifuls.com/powder-coating-line/?utm_source=chatgpt.com</t>
  </si>
  <si>
    <t>$15 000</t>
  </si>
  <si>
    <t>Cost per item</t>
  </si>
  <si>
    <t>Tabletops + insert</t>
  </si>
  <si>
    <t>Assembly</t>
  </si>
  <si>
    <t>Operators/machine</t>
  </si>
  <si>
    <t>onthou plek vir screws</t>
  </si>
  <si>
    <t>Legs</t>
  </si>
  <si>
    <t>Rubber Levelling</t>
  </si>
  <si>
    <t>onthou plek vir rubber</t>
  </si>
  <si>
    <t>Rubber supplier?</t>
  </si>
  <si>
    <t>https://www.google.com/url?sa=i&amp;url=https%3A%2F%2Fsdguanbai.en.made-in-china.com%2Fproduct%2FIQbYgHnrVzpZ%2FChina-Demountable-table-inox-2m-hotel-kitchen-raw-steel-table-restaurant-cooking-table.html&amp;psig=AOvVaw329jZanHF_qEI18MAhXz_B&amp;ust=1749375499148000&amp;source=images&amp;cd=vfe&amp;opi=89978449&amp;ved=2ahUKEwij-PTagd-NAxUXTEEAHdPDLxcQjhx6BAgAEBo</t>
  </si>
  <si>
    <t>5 Units (set)</t>
  </si>
  <si>
    <t>table top + insert together and legs together</t>
  </si>
  <si>
    <t>https://yupack.en.made-in-china.com/product/bBwJrjhOZGpn/China-Industrial-Semi-Automatic-Plastic-Stretch-Film-Skid-Pallet-Wrapper-with-Scale.html?pv_id=1it4seijk890&amp;faw_id=1it4sekva070&amp;bv_id=1it4senie00e&amp;pbv_id=1it4seh2da72</t>
  </si>
  <si>
    <t>$1 800</t>
  </si>
  <si>
    <t>120.00cm * 120.00cm * 220.00cm</t>
  </si>
  <si>
    <t>Tabletop + legs</t>
  </si>
  <si>
    <t>Bending</t>
  </si>
  <si>
    <t>https://yupack.en.made-in-china.com/product/bBwJrjhOZGpn/China-Industrial-Semi-Automatic-Plastic-Stretch-Film-Skid-Pallet-Wrapper-with-Scale.html?pv_id=1it4seijk890&amp;faw_id=1it4sekva070&amp;bv_id=1it4senie00e&amp;pbv_id=1it4seh2da73</t>
  </si>
  <si>
    <t>https://wonsten.en.made-in-china.com/product/PmhpfueGIgWk/China-CE-3D-Simulation-CNC-Semi-Automatic-Fully-Auto-Servo-Hydraulic-Electric-Mandrel-Tube-Bender-Square-Stainless-Steel-Aluminum-Profile-Rolling-Pipe-Bending-Machine.html?pv_id=1it4skgie682&amp;faw_id=1it4skp969d3&amp;bv_id=1it4sl243d1f&amp;pbv_id=1it4skeei4e</t>
  </si>
  <si>
    <t>2600× 600×1200mm</t>
  </si>
  <si>
    <t>$3 000</t>
  </si>
  <si>
    <t>Sit nog spasie by vir stoele om te kan manouver. Hierdie is net die welder se size</t>
  </si>
  <si>
    <t>Stoele se dimension plus bietjie ekstra</t>
  </si>
  <si>
    <t>Packaging Wrap Dispensing</t>
  </si>
  <si>
    <t>Stacking &amp; tiestrapping</t>
  </si>
  <si>
    <t>6x0,96 (rect)</t>
  </si>
  <si>
    <t>https://rackingandpacking.co.za/product/warehouse-storage-racks-4-shelf-2-2/</t>
  </si>
  <si>
    <t>Storage racks</t>
  </si>
  <si>
    <t>Pieces</t>
  </si>
  <si>
    <t>Width</t>
  </si>
  <si>
    <t>Rack width</t>
  </si>
  <si>
    <t>Racks</t>
  </si>
  <si>
    <t>Height</t>
  </si>
  <si>
    <t>Rack Height</t>
  </si>
  <si>
    <t>Length</t>
  </si>
  <si>
    <t>Rack Length</t>
  </si>
  <si>
    <t>Racks needed</t>
  </si>
  <si>
    <t>Bars next each other</t>
  </si>
  <si>
    <t>Cutoff length</t>
  </si>
  <si>
    <t>Cutoff pieces volume</t>
  </si>
  <si>
    <t>Cuttoff bin</t>
  </si>
  <si>
    <t>https://www.supplywise.co.za/ssb-sb2212-stillage-bin?gad_source=1&amp;gad_campaignid=7769767412&amp;gclid=Cj0KCQjwxo_CBhDbARIsADWpDH5LQRytkBsTBhdvjJD1SHFNN83QUSPgA4bXCo5L0PPTKgzYHWZi8voaAu0-EALw_wcB</t>
  </si>
  <si>
    <t>Manual polishing discs</t>
  </si>
  <si>
    <t>Table</t>
  </si>
  <si>
    <t>Rubber Feet</t>
  </si>
  <si>
    <t>https://www.amazon.co.uk/Square-Rubber-Stoppers-Ferrules-Furniture/dp/B0CGNP1FBN?th=1</t>
  </si>
  <si>
    <t>90*</t>
  </si>
  <si>
    <t>Rectangular bars</t>
  </si>
  <si>
    <t>Daily</t>
  </si>
  <si>
    <t>2 Weeks</t>
  </si>
  <si>
    <t>Length (m)</t>
  </si>
  <si>
    <t>Width (m)</t>
  </si>
  <si>
    <t>Height (m)</t>
  </si>
  <si>
    <t>2 weeks with scrap</t>
  </si>
  <si>
    <t>Rack Heigt</t>
  </si>
  <si>
    <t>Rack Width</t>
  </si>
  <si>
    <t>Peg height</t>
  </si>
  <si>
    <t>How many in layer?</t>
  </si>
  <si>
    <t>How many layers?</t>
  </si>
  <si>
    <t>How many on 6m rack?</t>
  </si>
  <si>
    <t>How many racks</t>
  </si>
  <si>
    <t>Forklifts</t>
  </si>
  <si>
    <t>Tafeldraers en stoters</t>
  </si>
  <si>
    <t>Cut pieces moving</t>
  </si>
  <si>
    <t>Rattan backing area</t>
  </si>
  <si>
    <t>Operators</t>
  </si>
  <si>
    <t>Raw Materials</t>
  </si>
  <si>
    <t>Raw Materials, elke twee weke vir 1 dag</t>
  </si>
  <si>
    <t>Finished Goods</t>
  </si>
  <si>
    <t>10 by 2 plus gang van 2.5m</t>
  </si>
  <si>
    <t>50 by 4 plus 1,5m gang</t>
  </si>
  <si>
    <t>Raw Material Storage</t>
  </si>
  <si>
    <t>Area of one machine</t>
  </si>
  <si>
    <t>Machines</t>
  </si>
  <si>
    <t>Total Area</t>
  </si>
  <si>
    <t>Cutting</t>
  </si>
  <si>
    <t>Grinding &amp; Polishing</t>
  </si>
  <si>
    <t>Powder Coating</t>
  </si>
  <si>
    <t>Rattan Backing</t>
  </si>
  <si>
    <t>Packaging</t>
  </si>
  <si>
    <t>Finished Chairs</t>
  </si>
  <si>
    <t>Finished Tables</t>
  </si>
  <si>
    <t>Office Bathrooms</t>
  </si>
  <si>
    <t>Operator Bathroom &amp; Locker Room</t>
  </si>
  <si>
    <t>Cafeteria</t>
  </si>
  <si>
    <t>Parking</t>
  </si>
  <si>
    <t>stack stoele in 5 rye van 10. Gang in die middel en rondom</t>
  </si>
  <si>
    <t>Offices</t>
  </si>
  <si>
    <t>10 by 2 plus gang van 3m</t>
  </si>
  <si>
    <t>width</t>
  </si>
  <si>
    <t>length</t>
  </si>
  <si>
    <t>table rows</t>
  </si>
  <si>
    <t>aisles</t>
  </si>
  <si>
    <t>Long aisle</t>
  </si>
  <si>
    <t>area</t>
  </si>
  <si>
    <t>chair rows</t>
  </si>
  <si>
    <t>config</t>
  </si>
  <si>
    <t>2x10</t>
  </si>
  <si>
    <t>10x10</t>
  </si>
  <si>
    <t>quantity</t>
  </si>
  <si>
    <t>locker</t>
  </si>
  <si>
    <t>extra aisle</t>
  </si>
  <si>
    <t>Loading Area for Rattan Chairs</t>
  </si>
  <si>
    <t>Cantilever rack length</t>
  </si>
  <si>
    <t>Quantity</t>
  </si>
  <si>
    <t>Aisle space</t>
  </si>
  <si>
    <t>Langsaan aisle</t>
  </si>
  <si>
    <t>manual welding</t>
  </si>
  <si>
    <t>automated welding</t>
  </si>
  <si>
    <t>Rattan</t>
  </si>
  <si>
    <t>workers</t>
  </si>
  <si>
    <t>daily delivery</t>
  </si>
  <si>
    <t>wip werkers ny bending, manual welding, autmated welding, grinding/polishing</t>
  </si>
  <si>
    <t>truck drivers</t>
  </si>
  <si>
    <t>packaging</t>
  </si>
  <si>
    <t>4 floor managers (1rawmat, 1 tab, 1 char, 1 overall)</t>
  </si>
  <si>
    <t>Criteria</t>
  </si>
  <si>
    <t>Weight</t>
  </si>
  <si>
    <t>Alternative 1</t>
  </si>
  <si>
    <t>Alternative 2</t>
  </si>
  <si>
    <t xml:space="preserve">Score </t>
  </si>
  <si>
    <t>Weighted Score</t>
  </si>
  <si>
    <t xml:space="preserve">20% expansion space </t>
  </si>
  <si>
    <t>Isolated areas for welding</t>
  </si>
  <si>
    <t>Optimise facility layout</t>
  </si>
  <si>
    <t>Sufficient external interface</t>
  </si>
  <si>
    <t>Logical flow of material</t>
  </si>
  <si>
    <t>Access to roads</t>
  </si>
  <si>
    <r>
      <rPr>
        <sz val="7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Should conform to activity relationship chart</t>
    </r>
  </si>
  <si>
    <t>Meet monthly demand of 5000 units</t>
  </si>
  <si>
    <t>Ease of implementation or construction</t>
  </si>
  <si>
    <t>Totals</t>
  </si>
  <si>
    <t>Component</t>
  </si>
  <si>
    <r>
      <t>Rate (R/ m</t>
    </r>
    <r>
      <rPr>
        <b/>
        <vertAlign val="super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)</t>
    </r>
  </si>
  <si>
    <r>
      <t>Total m</t>
    </r>
    <r>
      <rPr>
        <b/>
        <vertAlign val="superscript"/>
        <sz val="11"/>
        <color rgb="FF000000"/>
        <rFont val="Arial"/>
        <family val="2"/>
      </rPr>
      <t>2</t>
    </r>
  </si>
  <si>
    <t>Cost</t>
  </si>
  <si>
    <t>Building</t>
  </si>
  <si>
    <t>Parking &amp; Roads</t>
  </si>
  <si>
    <t>Restrooms</t>
  </si>
  <si>
    <t>Electrical</t>
  </si>
  <si>
    <t>Lighting</t>
  </si>
  <si>
    <t>Ventilation</t>
  </si>
  <si>
    <t>Fire Safety</t>
  </si>
  <si>
    <t>Equipment</t>
  </si>
  <si>
    <t>Rate (R/ equipment)</t>
  </si>
  <si>
    <t>No. of equipment</t>
  </si>
  <si>
    <t>Packaging Machine</t>
  </si>
  <si>
    <t>Workbenches</t>
  </si>
  <si>
    <t>Electric Forklifts</t>
  </si>
  <si>
    <t>Cantilever Racks</t>
  </si>
  <si>
    <t>WIP Storage Racks</t>
  </si>
  <si>
    <t>Tabletop 2</t>
  </si>
  <si>
    <t>Tabletop 1</t>
  </si>
  <si>
    <t>Slider Insert</t>
  </si>
  <si>
    <t>Area</t>
  </si>
  <si>
    <t>Rack Area</t>
  </si>
  <si>
    <t>Racks Needed</t>
  </si>
  <si>
    <t>Area Needed</t>
  </si>
  <si>
    <t>Chair Cut Pieces</t>
  </si>
  <si>
    <t>Bending Machine</t>
  </si>
  <si>
    <t>Cutting Machine</t>
  </si>
  <si>
    <t>Manual Welder</t>
  </si>
  <si>
    <t>Cutoff Bins</t>
  </si>
  <si>
    <t>Automated Welder</t>
  </si>
  <si>
    <t>Grinder</t>
  </si>
  <si>
    <t>Polisher</t>
  </si>
  <si>
    <t>Powder Coater</t>
  </si>
  <si>
    <t>Trolley</t>
  </si>
  <si>
    <t>Dolly with Wheels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</si>
</sst>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164" formatCode="&quot;R&quot;#,##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666666"/>
      <name val="Arial"/>
      <family val="2"/>
    </font>
    <font>
      <sz val="8"/>
      <color rgb="FF222222"/>
      <name val="Arial"/>
      <family val="2"/>
    </font>
    <font>
      <b/>
      <sz val="11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BFBFB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  <xf numFmtId="0" fontId="1" fillId="0" borderId="13" xfId="0" applyFont="1" applyBorder="1"/>
    <xf numFmtId="0" fontId="0" fillId="0" borderId="13" xfId="0" applyBorder="1"/>
    <xf numFmtId="0" fontId="0" fillId="0" borderId="14" xfId="0" applyBorder="1"/>
    <xf numFmtId="0" fontId="0" fillId="0" borderId="5" xfId="0" applyBorder="1"/>
    <xf numFmtId="0" fontId="0" fillId="0" borderId="8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6" xfId="0" applyBorder="1"/>
    <xf numFmtId="0" fontId="0" fillId="3" borderId="0" xfId="0" quotePrefix="1" applyFill="1"/>
    <xf numFmtId="0" fontId="3" fillId="0" borderId="0" xfId="0" applyFont="1"/>
    <xf numFmtId="0" fontId="0" fillId="0" borderId="0" xfId="0" applyAlignment="1">
      <alignment wrapText="1"/>
    </xf>
    <xf numFmtId="6" fontId="0" fillId="0" borderId="0" xfId="0" applyNumberFormat="1"/>
    <xf numFmtId="0" fontId="1" fillId="2" borderId="0" xfId="0" applyFont="1" applyFill="1"/>
    <xf numFmtId="0" fontId="0" fillId="4" borderId="0" xfId="0" applyFill="1"/>
    <xf numFmtId="0" fontId="4" fillId="4" borderId="0" xfId="0" applyFont="1" applyFill="1"/>
    <xf numFmtId="0" fontId="5" fillId="0" borderId="0" xfId="0" applyFont="1" applyAlignment="1">
      <alignment horizontal="left" vertical="center" wrapText="1"/>
    </xf>
    <xf numFmtId="0" fontId="0" fillId="5" borderId="0" xfId="0" applyFill="1"/>
    <xf numFmtId="0" fontId="0" fillId="6" borderId="0" xfId="0" applyFill="1"/>
    <xf numFmtId="0" fontId="1" fillId="0" borderId="1" xfId="0" applyFont="1" applyBorder="1"/>
    <xf numFmtId="0" fontId="1" fillId="0" borderId="3" xfId="0" applyFont="1" applyBorder="1"/>
    <xf numFmtId="0" fontId="0" fillId="0" borderId="15" xfId="0" applyBorder="1"/>
    <xf numFmtId="0" fontId="1" fillId="0" borderId="15" xfId="0" applyFont="1" applyBorder="1"/>
    <xf numFmtId="0" fontId="0" fillId="0" borderId="15" xfId="0" applyBorder="1" applyAlignment="1">
      <alignment horizontal="left" vertical="center"/>
    </xf>
    <xf numFmtId="0" fontId="7" fillId="7" borderId="16" xfId="0" applyFont="1" applyFill="1" applyBorder="1" applyAlignment="1">
      <alignment horizontal="justify" vertical="center" wrapText="1"/>
    </xf>
    <xf numFmtId="0" fontId="7" fillId="7" borderId="17" xfId="0" applyFont="1" applyFill="1" applyBorder="1" applyAlignment="1">
      <alignment horizontal="justify" vertical="center" wrapText="1"/>
    </xf>
    <xf numFmtId="0" fontId="7" fillId="8" borderId="18" xfId="0" applyFont="1" applyFill="1" applyBorder="1" applyAlignment="1">
      <alignment horizontal="justify" vertical="center" wrapText="1"/>
    </xf>
    <xf numFmtId="3" fontId="9" fillId="0" borderId="8" xfId="0" applyNumberFormat="1" applyFont="1" applyBorder="1" applyAlignment="1">
      <alignment horizontal="justify" vertical="center" wrapText="1"/>
    </xf>
    <xf numFmtId="0" fontId="9" fillId="0" borderId="8" xfId="0" applyFont="1" applyBorder="1" applyAlignment="1">
      <alignment horizontal="justify" vertical="center" wrapText="1"/>
    </xf>
    <xf numFmtId="0" fontId="10" fillId="8" borderId="18" xfId="0" applyFont="1" applyFill="1" applyBorder="1" applyAlignment="1">
      <alignment horizontal="justify" vertical="center" wrapText="1"/>
    </xf>
    <xf numFmtId="0" fontId="12" fillId="8" borderId="18" xfId="0" applyFont="1" applyFill="1" applyBorder="1" applyAlignment="1">
      <alignment horizontal="justify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9" fillId="8" borderId="18" xfId="0" applyFont="1" applyFill="1" applyBorder="1" applyAlignment="1">
      <alignment horizontal="justify" vertical="center" wrapText="1"/>
    </xf>
    <xf numFmtId="164" fontId="9" fillId="0" borderId="8" xfId="0" applyNumberFormat="1" applyFont="1" applyBorder="1" applyAlignment="1">
      <alignment horizontal="justify" vertical="center" wrapText="1"/>
    </xf>
    <xf numFmtId="164" fontId="11" fillId="0" borderId="8" xfId="0" applyNumberFormat="1" applyFont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6BE8-5195-4DEB-AB63-F245AAF505A9}">
  <dimension ref="A1:D31"/>
  <sheetViews>
    <sheetView tabSelected="1" workbookViewId="0">
      <selection activeCell="C6" sqref="C6"/>
    </sheetView>
  </sheetViews>
  <sheetFormatPr defaultRowHeight="14.4" x14ac:dyDescent="0.3"/>
  <cols>
    <col min="1" max="1" width="21.33203125" customWidth="1"/>
    <col min="2" max="2" width="20.5546875" bestFit="1" customWidth="1"/>
    <col min="3" max="3" width="17.88671875" bestFit="1" customWidth="1"/>
    <col min="4" max="4" width="18.21875" bestFit="1" customWidth="1"/>
  </cols>
  <sheetData>
    <row r="1" spans="1:4" ht="16.8" thickBot="1" x14ac:dyDescent="0.35">
      <c r="A1" s="35" t="s">
        <v>214</v>
      </c>
      <c r="B1" s="36" t="s">
        <v>215</v>
      </c>
      <c r="C1" s="36" t="s">
        <v>216</v>
      </c>
      <c r="D1" s="36" t="s">
        <v>217</v>
      </c>
    </row>
    <row r="2" spans="1:4" ht="15" thickBot="1" x14ac:dyDescent="0.35">
      <c r="A2" s="37" t="s">
        <v>218</v>
      </c>
      <c r="B2" s="38">
        <v>7000</v>
      </c>
      <c r="C2" s="38">
        <v>13036</v>
      </c>
      <c r="D2" s="44">
        <f>B2*C2</f>
        <v>91252000</v>
      </c>
    </row>
    <row r="3" spans="1:4" ht="15" thickBot="1" x14ac:dyDescent="0.35">
      <c r="A3" s="37" t="s">
        <v>169</v>
      </c>
      <c r="B3" s="38">
        <v>10000</v>
      </c>
      <c r="C3" s="39">
        <v>112</v>
      </c>
      <c r="D3" s="44">
        <f t="shared" ref="D3:D10" si="0">B3*C3</f>
        <v>1120000</v>
      </c>
    </row>
    <row r="4" spans="1:4" ht="15" thickBot="1" x14ac:dyDescent="0.35">
      <c r="A4" s="37" t="s">
        <v>166</v>
      </c>
      <c r="B4" s="38">
        <v>10000</v>
      </c>
      <c r="C4" s="39">
        <v>210</v>
      </c>
      <c r="D4" s="44">
        <f t="shared" si="0"/>
        <v>2100000</v>
      </c>
    </row>
    <row r="5" spans="1:4" ht="15" thickBot="1" x14ac:dyDescent="0.35">
      <c r="A5" s="37" t="s">
        <v>219</v>
      </c>
      <c r="B5" s="39">
        <v>1000</v>
      </c>
      <c r="C5" s="38">
        <v>10206</v>
      </c>
      <c r="D5" s="44">
        <f t="shared" si="0"/>
        <v>10206000</v>
      </c>
    </row>
    <row r="6" spans="1:4" ht="15" thickBot="1" x14ac:dyDescent="0.35">
      <c r="A6" s="37" t="s">
        <v>220</v>
      </c>
      <c r="B6" s="38">
        <v>7500</v>
      </c>
      <c r="C6" s="39">
        <v>105</v>
      </c>
      <c r="D6" s="44">
        <f t="shared" si="0"/>
        <v>787500</v>
      </c>
    </row>
    <row r="7" spans="1:4" ht="15" thickBot="1" x14ac:dyDescent="0.35">
      <c r="A7" s="37" t="s">
        <v>221</v>
      </c>
      <c r="B7" s="38">
        <v>1500</v>
      </c>
      <c r="C7" s="38">
        <v>13500</v>
      </c>
      <c r="D7" s="44">
        <f t="shared" si="0"/>
        <v>20250000</v>
      </c>
    </row>
    <row r="8" spans="1:4" ht="15" thickBot="1" x14ac:dyDescent="0.35">
      <c r="A8" s="37" t="s">
        <v>222</v>
      </c>
      <c r="B8" s="39">
        <v>1000</v>
      </c>
      <c r="C8" s="38">
        <v>13500</v>
      </c>
      <c r="D8" s="44">
        <f t="shared" si="0"/>
        <v>13500000</v>
      </c>
    </row>
    <row r="9" spans="1:4" ht="15" thickBot="1" x14ac:dyDescent="0.35">
      <c r="A9" s="37" t="s">
        <v>223</v>
      </c>
      <c r="B9" s="38">
        <v>1000</v>
      </c>
      <c r="C9" s="38">
        <v>13036</v>
      </c>
      <c r="D9" s="44">
        <f t="shared" si="0"/>
        <v>13036000</v>
      </c>
    </row>
    <row r="10" spans="1:4" ht="15" thickBot="1" x14ac:dyDescent="0.35">
      <c r="A10" s="37" t="s">
        <v>224</v>
      </c>
      <c r="B10" s="38">
        <v>300</v>
      </c>
      <c r="C10" s="38">
        <v>13500</v>
      </c>
      <c r="D10" s="44">
        <f t="shared" si="0"/>
        <v>4050000</v>
      </c>
    </row>
    <row r="11" spans="1:4" ht="15" thickBot="1" x14ac:dyDescent="0.35">
      <c r="A11" s="37" t="s">
        <v>225</v>
      </c>
      <c r="B11" s="39"/>
      <c r="C11" s="39"/>
      <c r="D11" s="44">
        <f>D31</f>
        <v>10696900</v>
      </c>
    </row>
    <row r="12" spans="1:4" ht="16.2" thickBot="1" x14ac:dyDescent="0.35">
      <c r="A12" s="40" t="s">
        <v>29</v>
      </c>
      <c r="B12" s="39"/>
      <c r="C12" s="39"/>
      <c r="D12" s="45">
        <f>SUM(D2:D11)</f>
        <v>166998400</v>
      </c>
    </row>
    <row r="14" spans="1:4" ht="15" thickBot="1" x14ac:dyDescent="0.35"/>
    <row r="15" spans="1:4" ht="28.2" thickBot="1" x14ac:dyDescent="0.35">
      <c r="A15" s="35" t="s">
        <v>225</v>
      </c>
      <c r="B15" s="36" t="s">
        <v>226</v>
      </c>
      <c r="C15" s="36" t="s">
        <v>227</v>
      </c>
      <c r="D15" s="36" t="s">
        <v>217</v>
      </c>
    </row>
    <row r="16" spans="1:4" ht="15" thickBot="1" x14ac:dyDescent="0.35">
      <c r="A16" s="41" t="s">
        <v>231</v>
      </c>
      <c r="B16" s="38">
        <v>15000</v>
      </c>
      <c r="C16" s="38">
        <v>88</v>
      </c>
      <c r="D16" s="44">
        <f>B16*C16</f>
        <v>1320000</v>
      </c>
    </row>
    <row r="17" spans="1:4" ht="15" thickBot="1" x14ac:dyDescent="0.35">
      <c r="A17" s="41" t="s">
        <v>232</v>
      </c>
      <c r="B17" s="38">
        <v>4000</v>
      </c>
      <c r="C17" s="38">
        <f>35*5</f>
        <v>175</v>
      </c>
      <c r="D17" s="44">
        <f t="shared" ref="D17:D30" si="1">B17*C17</f>
        <v>700000</v>
      </c>
    </row>
    <row r="18" spans="1:4" ht="15" thickBot="1" x14ac:dyDescent="0.35">
      <c r="A18" s="41" t="s">
        <v>242</v>
      </c>
      <c r="B18" s="38">
        <v>250000</v>
      </c>
      <c r="C18" s="38">
        <v>3</v>
      </c>
      <c r="D18" s="44">
        <f t="shared" si="1"/>
        <v>750000</v>
      </c>
    </row>
    <row r="19" spans="1:4" ht="15" thickBot="1" x14ac:dyDescent="0.35">
      <c r="A19" s="41" t="s">
        <v>244</v>
      </c>
      <c r="B19" s="38">
        <v>4000</v>
      </c>
      <c r="C19" s="38">
        <v>3</v>
      </c>
      <c r="D19" s="44">
        <f t="shared" si="1"/>
        <v>12000</v>
      </c>
    </row>
    <row r="20" spans="1:4" ht="15" thickBot="1" x14ac:dyDescent="0.35">
      <c r="A20" s="41" t="s">
        <v>241</v>
      </c>
      <c r="B20" s="38">
        <v>60000</v>
      </c>
      <c r="C20" s="38">
        <v>7</v>
      </c>
      <c r="D20" s="44">
        <f t="shared" si="1"/>
        <v>420000</v>
      </c>
    </row>
    <row r="21" spans="1:4" ht="15" thickBot="1" x14ac:dyDescent="0.35">
      <c r="A21" s="41" t="s">
        <v>243</v>
      </c>
      <c r="B21" s="38">
        <v>45000</v>
      </c>
      <c r="C21" s="38">
        <v>24</v>
      </c>
      <c r="D21" s="44">
        <f t="shared" si="1"/>
        <v>1080000</v>
      </c>
    </row>
    <row r="22" spans="1:4" ht="15" thickBot="1" x14ac:dyDescent="0.35">
      <c r="A22" s="42" t="s">
        <v>245</v>
      </c>
      <c r="B22" s="38">
        <v>200000</v>
      </c>
      <c r="C22" s="38">
        <v>3</v>
      </c>
      <c r="D22" s="44">
        <f t="shared" si="1"/>
        <v>600000</v>
      </c>
    </row>
    <row r="23" spans="1:4" ht="15" thickBot="1" x14ac:dyDescent="0.35">
      <c r="A23" s="41" t="s">
        <v>246</v>
      </c>
      <c r="B23" s="38">
        <v>600</v>
      </c>
      <c r="C23" s="38">
        <v>2</v>
      </c>
      <c r="D23" s="44">
        <f t="shared" si="1"/>
        <v>1200</v>
      </c>
    </row>
    <row r="24" spans="1:4" ht="15" thickBot="1" x14ac:dyDescent="0.35">
      <c r="A24" s="41" t="s">
        <v>247</v>
      </c>
      <c r="B24" s="38">
        <v>350</v>
      </c>
      <c r="C24" s="38">
        <v>2</v>
      </c>
      <c r="D24" s="44">
        <f t="shared" si="1"/>
        <v>700</v>
      </c>
    </row>
    <row r="25" spans="1:4" ht="15" thickBot="1" x14ac:dyDescent="0.35">
      <c r="A25" s="41" t="s">
        <v>248</v>
      </c>
      <c r="B25" s="38">
        <v>1200000</v>
      </c>
      <c r="C25" s="38">
        <v>1</v>
      </c>
      <c r="D25" s="44">
        <f t="shared" si="1"/>
        <v>1200000</v>
      </c>
    </row>
    <row r="26" spans="1:4" ht="15" thickBot="1" x14ac:dyDescent="0.35">
      <c r="A26" s="41" t="s">
        <v>229</v>
      </c>
      <c r="B26" s="38">
        <v>2000</v>
      </c>
      <c r="C26" s="38">
        <v>3</v>
      </c>
      <c r="D26" s="44">
        <f t="shared" si="1"/>
        <v>6000</v>
      </c>
    </row>
    <row r="27" spans="1:4" ht="15" thickBot="1" x14ac:dyDescent="0.35">
      <c r="A27" s="41" t="s">
        <v>249</v>
      </c>
      <c r="B27" s="38">
        <v>4000</v>
      </c>
      <c r="C27" s="38">
        <v>3</v>
      </c>
      <c r="D27" s="44">
        <f t="shared" si="1"/>
        <v>12000</v>
      </c>
    </row>
    <row r="28" spans="1:4" ht="15" thickBot="1" x14ac:dyDescent="0.35">
      <c r="A28" s="41" t="s">
        <v>230</v>
      </c>
      <c r="B28" s="38">
        <v>400000</v>
      </c>
      <c r="C28" s="38">
        <v>8</v>
      </c>
      <c r="D28" s="44">
        <f t="shared" si="1"/>
        <v>3200000</v>
      </c>
    </row>
    <row r="29" spans="1:4" ht="15" thickBot="1" x14ac:dyDescent="0.35">
      <c r="A29" s="41" t="s">
        <v>250</v>
      </c>
      <c r="B29" s="38">
        <v>1500</v>
      </c>
      <c r="C29" s="38">
        <v>850</v>
      </c>
      <c r="D29" s="44">
        <f t="shared" si="1"/>
        <v>1275000</v>
      </c>
    </row>
    <row r="30" spans="1:4" ht="15" thickBot="1" x14ac:dyDescent="0.35">
      <c r="A30" s="41" t="s">
        <v>228</v>
      </c>
      <c r="B30" s="38">
        <v>40000</v>
      </c>
      <c r="C30" s="38">
        <v>3</v>
      </c>
      <c r="D30" s="44">
        <f t="shared" si="1"/>
        <v>120000</v>
      </c>
    </row>
    <row r="31" spans="1:4" ht="15" thickBot="1" x14ac:dyDescent="0.35">
      <c r="A31" s="43"/>
      <c r="B31" s="39"/>
      <c r="C31" s="39"/>
      <c r="D31" s="44">
        <f>SUM(D16:D30)</f>
        <v>10696900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AD59-FB4B-4BB0-922D-BDD4F9FD5A31}">
  <dimension ref="A1:X28"/>
  <sheetViews>
    <sheetView workbookViewId="0">
      <selection activeCell="K15" sqref="K15"/>
    </sheetView>
  </sheetViews>
  <sheetFormatPr defaultRowHeight="14.4" x14ac:dyDescent="0.3"/>
  <cols>
    <col min="1" max="1" width="21.88671875" style="1" bestFit="1" customWidth="1"/>
    <col min="2" max="2" width="13.109375" bestFit="1" customWidth="1"/>
    <col min="3" max="3" width="19.77734375" bestFit="1" customWidth="1"/>
    <col min="4" max="4" width="9.44140625" bestFit="1" customWidth="1"/>
    <col min="5" max="5" width="9.77734375" bestFit="1" customWidth="1"/>
    <col min="7" max="7" width="13.33203125" bestFit="1" customWidth="1"/>
    <col min="8" max="8" width="12.5546875" bestFit="1" customWidth="1"/>
    <col min="11" max="11" width="9.77734375" bestFit="1" customWidth="1"/>
    <col min="14" max="14" width="9.77734375" bestFit="1" customWidth="1"/>
    <col min="17" max="17" width="12" bestFit="1" customWidth="1"/>
  </cols>
  <sheetData>
    <row r="1" spans="1:24" x14ac:dyDescent="0.3">
      <c r="A1" s="1" t="s">
        <v>11</v>
      </c>
      <c r="B1">
        <v>5000</v>
      </c>
      <c r="D1" s="1" t="s">
        <v>25</v>
      </c>
      <c r="E1">
        <v>6</v>
      </c>
    </row>
    <row r="2" spans="1:24" x14ac:dyDescent="0.3">
      <c r="A2" s="1" t="s">
        <v>12</v>
      </c>
      <c r="B2">
        <v>20</v>
      </c>
      <c r="Q2" s="1"/>
      <c r="R2" s="1"/>
      <c r="S2" s="1"/>
      <c r="T2" s="1"/>
      <c r="U2" s="1"/>
      <c r="V2" s="1"/>
      <c r="W2" s="1"/>
      <c r="X2" s="1"/>
    </row>
    <row r="3" spans="1:24" x14ac:dyDescent="0.3">
      <c r="A3" s="1" t="s">
        <v>13</v>
      </c>
      <c r="B3">
        <f>B1/B2</f>
        <v>250</v>
      </c>
      <c r="Q3" s="1"/>
    </row>
    <row r="4" spans="1:24" ht="15" thickBot="1" x14ac:dyDescent="0.35">
      <c r="Q4" s="1"/>
    </row>
    <row r="5" spans="1:24" x14ac:dyDescent="0.3">
      <c r="A5" s="15" t="s">
        <v>26</v>
      </c>
      <c r="B5" s="48" t="s">
        <v>19</v>
      </c>
      <c r="C5" s="46"/>
      <c r="D5" s="49"/>
      <c r="E5" s="48" t="s">
        <v>20</v>
      </c>
      <c r="F5" s="46"/>
      <c r="G5" s="49"/>
      <c r="H5" s="48" t="s">
        <v>21</v>
      </c>
      <c r="I5" s="46"/>
      <c r="J5" s="49"/>
      <c r="K5" s="48" t="s">
        <v>22</v>
      </c>
      <c r="L5" s="46"/>
      <c r="M5" s="49"/>
      <c r="N5" s="48" t="s">
        <v>23</v>
      </c>
      <c r="O5" s="46"/>
      <c r="P5" s="49"/>
      <c r="Q5" s="46">
        <v>0.96</v>
      </c>
      <c r="R5" s="46"/>
      <c r="S5" s="47"/>
    </row>
    <row r="6" spans="1:24" x14ac:dyDescent="0.3">
      <c r="A6" s="3"/>
      <c r="B6" s="7" t="s">
        <v>24</v>
      </c>
      <c r="C6" s="1" t="s">
        <v>6</v>
      </c>
      <c r="D6" s="10" t="s">
        <v>5</v>
      </c>
      <c r="E6" s="7" t="s">
        <v>24</v>
      </c>
      <c r="F6" s="1" t="s">
        <v>6</v>
      </c>
      <c r="G6" s="10" t="s">
        <v>5</v>
      </c>
      <c r="H6" s="7" t="s">
        <v>24</v>
      </c>
      <c r="I6" s="1" t="s">
        <v>6</v>
      </c>
      <c r="J6" s="10" t="s">
        <v>5</v>
      </c>
      <c r="K6" s="7" t="s">
        <v>24</v>
      </c>
      <c r="L6" s="1" t="s">
        <v>6</v>
      </c>
      <c r="M6" s="10" t="s">
        <v>5</v>
      </c>
      <c r="N6" s="7" t="s">
        <v>24</v>
      </c>
      <c r="O6" s="1" t="s">
        <v>6</v>
      </c>
      <c r="P6" s="10" t="s">
        <v>5</v>
      </c>
      <c r="Q6" s="1" t="s">
        <v>24</v>
      </c>
      <c r="R6" s="1" t="s">
        <v>6</v>
      </c>
      <c r="S6" s="4" t="s">
        <v>5</v>
      </c>
    </row>
    <row r="7" spans="1:24" x14ac:dyDescent="0.3">
      <c r="A7" s="3" t="s">
        <v>14</v>
      </c>
      <c r="B7" s="8">
        <f>3*B3</f>
        <v>750</v>
      </c>
      <c r="C7">
        <f>B7*1.52</f>
        <v>1140</v>
      </c>
      <c r="D7" s="11">
        <f>B7/3</f>
        <v>250</v>
      </c>
      <c r="E7" s="8">
        <f>7*B3</f>
        <v>1750</v>
      </c>
      <c r="F7">
        <f>E7*1</f>
        <v>1750</v>
      </c>
      <c r="G7" s="11">
        <f>F7/E1</f>
        <v>291.66666666666669</v>
      </c>
      <c r="H7" s="8">
        <f>2*B3</f>
        <v>500</v>
      </c>
      <c r="I7">
        <f>H7*0.94</f>
        <v>470</v>
      </c>
      <c r="J7" s="11">
        <f>I7/E1</f>
        <v>78.333333333333329</v>
      </c>
      <c r="K7" s="8"/>
      <c r="M7" s="11"/>
      <c r="N7" s="8"/>
      <c r="P7" s="11"/>
      <c r="Q7">
        <f>3*250</f>
        <v>750</v>
      </c>
      <c r="R7">
        <f>Q7*0.96</f>
        <v>720</v>
      </c>
      <c r="S7" s="13">
        <f>Q7/6</f>
        <v>125</v>
      </c>
    </row>
    <row r="8" spans="1:24" x14ac:dyDescent="0.3">
      <c r="A8" s="3" t="s">
        <v>15</v>
      </c>
      <c r="B8" s="8"/>
      <c r="D8" s="11"/>
      <c r="E8" s="8">
        <f>25*B3</f>
        <v>6250</v>
      </c>
      <c r="F8">
        <f>E8*1</f>
        <v>6250</v>
      </c>
      <c r="G8" s="11">
        <f>F8/E1</f>
        <v>1041.6666666666667</v>
      </c>
      <c r="H8" s="8"/>
      <c r="J8" s="11"/>
      <c r="K8" s="8"/>
      <c r="M8" s="11"/>
      <c r="N8" s="8"/>
      <c r="P8" s="11"/>
      <c r="S8" s="13"/>
    </row>
    <row r="9" spans="1:24" x14ac:dyDescent="0.3">
      <c r="A9" s="3" t="s">
        <v>16</v>
      </c>
      <c r="B9" s="8"/>
      <c r="D9" s="11"/>
      <c r="E9" s="8"/>
      <c r="G9" s="11"/>
      <c r="H9" s="8"/>
      <c r="J9" s="11"/>
      <c r="K9" s="8">
        <f>4*B3</f>
        <v>1000</v>
      </c>
      <c r="L9">
        <f>K9*0.7</f>
        <v>700</v>
      </c>
      <c r="M9" s="11">
        <f>L9/8</f>
        <v>87.5</v>
      </c>
      <c r="N9" s="8"/>
      <c r="P9" s="11"/>
      <c r="S9" s="13"/>
    </row>
    <row r="10" spans="1:24" ht="15" thickBot="1" x14ac:dyDescent="0.35">
      <c r="A10" s="5" t="s">
        <v>17</v>
      </c>
      <c r="B10" s="9"/>
      <c r="C10" s="6"/>
      <c r="D10" s="12"/>
      <c r="E10" s="9"/>
      <c r="F10" s="6"/>
      <c r="G10" s="12"/>
      <c r="H10" s="9"/>
      <c r="I10" s="6"/>
      <c r="J10" s="12"/>
      <c r="K10" s="9"/>
      <c r="L10" s="6"/>
      <c r="M10" s="12"/>
      <c r="N10" s="9">
        <f>4*B3</f>
        <v>1000</v>
      </c>
      <c r="O10" s="6">
        <f>N10*6</f>
        <v>6000</v>
      </c>
      <c r="P10" s="12">
        <f>O10</f>
        <v>6000</v>
      </c>
      <c r="Q10" s="6"/>
      <c r="R10" s="6"/>
      <c r="S10" s="14"/>
    </row>
    <row r="11" spans="1:24" ht="15" thickBot="1" x14ac:dyDescent="0.35"/>
    <row r="12" spans="1:24" x14ac:dyDescent="0.3">
      <c r="A12" s="15" t="s">
        <v>35</v>
      </c>
      <c r="B12" s="16" t="s">
        <v>27</v>
      </c>
      <c r="C12" s="17" t="s">
        <v>28</v>
      </c>
      <c r="G12" s="15" t="s">
        <v>27</v>
      </c>
      <c r="H12" s="17" t="s">
        <v>37</v>
      </c>
      <c r="K12" t="s">
        <v>38</v>
      </c>
    </row>
    <row r="13" spans="1:24" x14ac:dyDescent="0.3">
      <c r="A13" s="3" t="s">
        <v>34</v>
      </c>
      <c r="B13">
        <v>250</v>
      </c>
      <c r="C13" s="13">
        <f>3*1.52+1</f>
        <v>5.5600000000000005</v>
      </c>
      <c r="G13" s="18">
        <v>250</v>
      </c>
      <c r="H13" s="13">
        <f>G13/0.95</f>
        <v>263.15789473684214</v>
      </c>
      <c r="K13">
        <v>1.52</v>
      </c>
      <c r="L13">
        <v>15</v>
      </c>
      <c r="M13">
        <f>L13/K13*1</f>
        <v>9.8684210526315788</v>
      </c>
    </row>
    <row r="14" spans="1:24" x14ac:dyDescent="0.3">
      <c r="A14" s="3" t="s">
        <v>30</v>
      </c>
      <c r="B14">
        <f>ROUNDUP((E7-B13)/6,0)</f>
        <v>250</v>
      </c>
      <c r="C14" s="13">
        <f>6</f>
        <v>6</v>
      </c>
      <c r="E14">
        <f>1000/6</f>
        <v>166.66666666666666</v>
      </c>
      <c r="G14" s="18">
        <v>250</v>
      </c>
      <c r="H14" s="13">
        <f t="shared" ref="H14:H19" si="0">G14/0.95</f>
        <v>263.15789473684214</v>
      </c>
      <c r="K14">
        <v>2.48</v>
      </c>
      <c r="L14">
        <f>K14*M13</f>
        <v>24.473684210526315</v>
      </c>
      <c r="M14" t="s">
        <v>40</v>
      </c>
      <c r="N14">
        <f>2.48-1.52</f>
        <v>0.96</v>
      </c>
    </row>
    <row r="15" spans="1:24" x14ac:dyDescent="0.3">
      <c r="A15" s="3" t="s">
        <v>36</v>
      </c>
      <c r="B15">
        <v>84</v>
      </c>
      <c r="C15" s="13">
        <f>6*0.94</f>
        <v>5.64</v>
      </c>
      <c r="E15">
        <f>500/6</f>
        <v>83.333333333333329</v>
      </c>
      <c r="G15" s="18">
        <v>84</v>
      </c>
      <c r="H15" s="13">
        <f t="shared" si="0"/>
        <v>88.421052631578945</v>
      </c>
      <c r="K15">
        <v>0.96</v>
      </c>
      <c r="L15">
        <f>K15*M13</f>
        <v>9.473684210526315</v>
      </c>
    </row>
    <row r="16" spans="1:24" x14ac:dyDescent="0.3">
      <c r="A16" s="3" t="s">
        <v>107</v>
      </c>
      <c r="B16">
        <v>125</v>
      </c>
      <c r="C16" s="13">
        <f>0.96*6</f>
        <v>5.76</v>
      </c>
      <c r="G16" s="18">
        <v>125</v>
      </c>
      <c r="H16" s="13">
        <f t="shared" si="0"/>
        <v>131.57894736842107</v>
      </c>
    </row>
    <row r="17" spans="1:12" x14ac:dyDescent="0.3">
      <c r="A17" s="3" t="s">
        <v>33</v>
      </c>
      <c r="B17">
        <v>1042</v>
      </c>
      <c r="C17" s="13">
        <v>6</v>
      </c>
      <c r="D17" s="20" t="s">
        <v>39</v>
      </c>
      <c r="E17">
        <f>E8/6</f>
        <v>1041.6666666666667</v>
      </c>
      <c r="G17" s="18">
        <v>1042</v>
      </c>
      <c r="H17" s="13">
        <f t="shared" si="0"/>
        <v>1096.8421052631579</v>
      </c>
    </row>
    <row r="18" spans="1:12" x14ac:dyDescent="0.3">
      <c r="A18" s="3" t="s">
        <v>31</v>
      </c>
      <c r="B18">
        <v>125</v>
      </c>
      <c r="C18" s="13">
        <f>8*0.7</f>
        <v>5.6</v>
      </c>
      <c r="E18">
        <f>1000/8</f>
        <v>125</v>
      </c>
      <c r="G18" s="18">
        <v>125</v>
      </c>
      <c r="H18" s="13">
        <f t="shared" si="0"/>
        <v>131.57894736842107</v>
      </c>
      <c r="L18">
        <f>(625+84)/0.95</f>
        <v>746.31578947368428</v>
      </c>
    </row>
    <row r="19" spans="1:12" ht="15" thickBot="1" x14ac:dyDescent="0.35">
      <c r="A19" s="5" t="s">
        <v>32</v>
      </c>
      <c r="B19" s="6">
        <v>1000</v>
      </c>
      <c r="C19" s="14">
        <v>6</v>
      </c>
      <c r="G19" s="19">
        <v>1000</v>
      </c>
      <c r="H19" s="14">
        <f t="shared" si="0"/>
        <v>1052.6315789473686</v>
      </c>
    </row>
    <row r="20" spans="1:12" x14ac:dyDescent="0.3">
      <c r="A20" s="1" t="s">
        <v>29</v>
      </c>
      <c r="B20" s="1">
        <f>SUM(B13:B19)</f>
        <v>2876</v>
      </c>
      <c r="G20" s="1">
        <f>SUM(G13:G19)</f>
        <v>2876</v>
      </c>
      <c r="H20" s="1">
        <f>SUM(H13:H19)</f>
        <v>3027.3684210526317</v>
      </c>
    </row>
    <row r="22" spans="1:12" x14ac:dyDescent="0.3">
      <c r="C22">
        <f>SUM(B13:B16)/250</f>
        <v>2.8359999999999999</v>
      </c>
      <c r="F22">
        <v>250</v>
      </c>
      <c r="G22">
        <f>F22*4</f>
        <v>1000</v>
      </c>
      <c r="I22">
        <f>SUM(B13:B16)</f>
        <v>709</v>
      </c>
    </row>
    <row r="23" spans="1:12" x14ac:dyDescent="0.3">
      <c r="C23">
        <f>B17/250</f>
        <v>4.1680000000000001</v>
      </c>
      <c r="F23">
        <v>250</v>
      </c>
      <c r="G23">
        <f>F23*6</f>
        <v>1500</v>
      </c>
    </row>
    <row r="24" spans="1:12" x14ac:dyDescent="0.3">
      <c r="C24">
        <f t="shared" ref="C24:C25" si="1">B18/250</f>
        <v>0.5</v>
      </c>
      <c r="F24">
        <v>84</v>
      </c>
      <c r="G24">
        <f t="shared" ref="G24:G26" si="2">F24*6</f>
        <v>504</v>
      </c>
    </row>
    <row r="25" spans="1:12" x14ac:dyDescent="0.3">
      <c r="C25">
        <f t="shared" si="1"/>
        <v>4</v>
      </c>
      <c r="F25">
        <v>125</v>
      </c>
      <c r="G25">
        <f t="shared" si="2"/>
        <v>750</v>
      </c>
    </row>
    <row r="26" spans="1:12" x14ac:dyDescent="0.3">
      <c r="C26">
        <f>SUM(C22:C25)</f>
        <v>11.504</v>
      </c>
      <c r="F26">
        <v>1042</v>
      </c>
      <c r="G26">
        <f t="shared" si="2"/>
        <v>6252</v>
      </c>
    </row>
    <row r="27" spans="1:12" x14ac:dyDescent="0.3">
      <c r="F27">
        <v>125</v>
      </c>
      <c r="G27">
        <f>F27*8</f>
        <v>1000</v>
      </c>
    </row>
    <row r="28" spans="1:12" x14ac:dyDescent="0.3">
      <c r="F28">
        <v>1000</v>
      </c>
      <c r="G28">
        <f>F28</f>
        <v>1000</v>
      </c>
    </row>
  </sheetData>
  <mergeCells count="6">
    <mergeCell ref="Q5:S5"/>
    <mergeCell ref="B5:D5"/>
    <mergeCell ref="E5:G5"/>
    <mergeCell ref="H5:J5"/>
    <mergeCell ref="K5:M5"/>
    <mergeCell ref="N5: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2EA4F-1108-47C4-9EF1-88C7236A637C}">
  <dimension ref="A1:K43"/>
  <sheetViews>
    <sheetView workbookViewId="0">
      <selection activeCell="I23" sqref="I23"/>
    </sheetView>
  </sheetViews>
  <sheetFormatPr defaultRowHeight="14.4" x14ac:dyDescent="0.3"/>
  <cols>
    <col min="1" max="1" width="13.77734375" bestFit="1" customWidth="1"/>
    <col min="2" max="2" width="17.6640625" bestFit="1" customWidth="1"/>
    <col min="3" max="3" width="23.5546875" bestFit="1" customWidth="1"/>
    <col min="4" max="4" width="12.5546875" customWidth="1"/>
    <col min="5" max="5" width="18.5546875" customWidth="1"/>
    <col min="6" max="6" width="15.5546875" bestFit="1" customWidth="1"/>
    <col min="7" max="7" width="15.5546875" customWidth="1"/>
    <col min="8" max="8" width="12.109375" bestFit="1" customWidth="1"/>
    <col min="9" max="9" width="17.5546875" customWidth="1"/>
    <col min="10" max="10" width="19.88671875" customWidth="1"/>
  </cols>
  <sheetData>
    <row r="1" spans="1:11" x14ac:dyDescent="0.3">
      <c r="B1" t="s">
        <v>76</v>
      </c>
      <c r="C1">
        <f>7.5*60</f>
        <v>450</v>
      </c>
    </row>
    <row r="3" spans="1:11" s="1" customFormat="1" x14ac:dyDescent="0.3">
      <c r="A3" s="1" t="s">
        <v>54</v>
      </c>
      <c r="B3" s="1" t="s">
        <v>41</v>
      </c>
      <c r="C3" s="1" t="s">
        <v>51</v>
      </c>
      <c r="D3" s="1" t="s">
        <v>85</v>
      </c>
      <c r="E3" s="1" t="s">
        <v>50</v>
      </c>
      <c r="F3" s="1" t="s">
        <v>47</v>
      </c>
      <c r="G3" s="1" t="s">
        <v>42</v>
      </c>
      <c r="H3" s="1" t="s">
        <v>82</v>
      </c>
      <c r="I3" s="1" t="s">
        <v>43</v>
      </c>
    </row>
    <row r="4" spans="1:11" s="25" customFormat="1" x14ac:dyDescent="0.3">
      <c r="A4" s="25" t="s">
        <v>64</v>
      </c>
      <c r="B4" s="25" t="s">
        <v>48</v>
      </c>
      <c r="C4" s="25">
        <v>1</v>
      </c>
      <c r="D4" s="25">
        <v>2</v>
      </c>
      <c r="E4" s="25">
        <v>250</v>
      </c>
      <c r="F4" s="25">
        <f>E4/$C$1</f>
        <v>0.55555555555555558</v>
      </c>
      <c r="G4" s="25" t="s">
        <v>46</v>
      </c>
      <c r="H4" s="25" t="s">
        <v>45</v>
      </c>
      <c r="I4" s="25" t="s">
        <v>44</v>
      </c>
      <c r="J4" s="25" t="s">
        <v>78</v>
      </c>
    </row>
    <row r="5" spans="1:11" s="25" customFormat="1" x14ac:dyDescent="0.3">
      <c r="A5" s="25" t="s">
        <v>18</v>
      </c>
      <c r="B5" s="25" t="s">
        <v>49</v>
      </c>
      <c r="C5" s="25">
        <v>1</v>
      </c>
      <c r="D5" s="25">
        <v>2</v>
      </c>
      <c r="E5" s="25">
        <v>1000</v>
      </c>
      <c r="F5" s="25">
        <f>E5/$C$1</f>
        <v>2.2222222222222223</v>
      </c>
      <c r="G5" s="25" t="s">
        <v>46</v>
      </c>
      <c r="H5" s="25" t="s">
        <v>45</v>
      </c>
      <c r="I5" s="25" t="s">
        <v>44</v>
      </c>
      <c r="J5" s="25" t="s">
        <v>78</v>
      </c>
    </row>
    <row r="6" spans="1:11" s="25" customFormat="1" x14ac:dyDescent="0.3">
      <c r="F6" s="25">
        <f>ROUNDUP(SUM(F4:F5),0)</f>
        <v>3</v>
      </c>
    </row>
    <row r="7" spans="1:11" x14ac:dyDescent="0.3">
      <c r="A7" t="s">
        <v>55</v>
      </c>
      <c r="B7" t="s">
        <v>53</v>
      </c>
      <c r="C7">
        <v>5</v>
      </c>
      <c r="D7">
        <v>1</v>
      </c>
      <c r="E7">
        <v>250</v>
      </c>
      <c r="F7">
        <f>(E7*C7)/C1</f>
        <v>2.7777777777777777</v>
      </c>
      <c r="G7" s="21" t="s">
        <v>56</v>
      </c>
      <c r="H7" t="s">
        <v>57</v>
      </c>
      <c r="I7" t="s">
        <v>52</v>
      </c>
    </row>
    <row r="8" spans="1:11" x14ac:dyDescent="0.3">
      <c r="F8">
        <f>ROUNDUP(F7,0)</f>
        <v>3</v>
      </c>
    </row>
    <row r="9" spans="1:11" ht="28.8" x14ac:dyDescent="0.3">
      <c r="A9" s="22" t="s">
        <v>58</v>
      </c>
      <c r="B9" t="s">
        <v>59</v>
      </c>
      <c r="C9">
        <v>10</v>
      </c>
      <c r="D9">
        <v>1</v>
      </c>
      <c r="E9">
        <f>250*2</f>
        <v>500</v>
      </c>
      <c r="F9">
        <f>E9*C9/C1</f>
        <v>11.111111111111111</v>
      </c>
      <c r="G9" s="21" t="s">
        <v>60</v>
      </c>
      <c r="H9" t="s">
        <v>63</v>
      </c>
      <c r="I9" t="s">
        <v>62</v>
      </c>
      <c r="J9" t="s">
        <v>61</v>
      </c>
      <c r="K9" t="s">
        <v>65</v>
      </c>
    </row>
    <row r="10" spans="1:11" x14ac:dyDescent="0.3">
      <c r="F10">
        <f>ROUNDUP(F9,0)</f>
        <v>12</v>
      </c>
    </row>
    <row r="11" spans="1:11" x14ac:dyDescent="0.3">
      <c r="A11" t="s">
        <v>64</v>
      </c>
      <c r="B11" t="s">
        <v>66</v>
      </c>
      <c r="C11">
        <v>1</v>
      </c>
      <c r="D11">
        <v>1</v>
      </c>
      <c r="E11">
        <f>2*250</f>
        <v>500</v>
      </c>
      <c r="F11">
        <f>E11*C11/C1</f>
        <v>1.1111111111111112</v>
      </c>
      <c r="G11" t="s">
        <v>71</v>
      </c>
      <c r="H11" s="23">
        <v>600</v>
      </c>
      <c r="I11" t="s">
        <v>67</v>
      </c>
      <c r="J11" t="s">
        <v>65</v>
      </c>
    </row>
    <row r="12" spans="1:11" x14ac:dyDescent="0.3">
      <c r="F12">
        <f>ROUNDUP(F11,0)</f>
        <v>2</v>
      </c>
      <c r="H12" s="23"/>
    </row>
    <row r="13" spans="1:11" x14ac:dyDescent="0.3">
      <c r="A13" t="s">
        <v>64</v>
      </c>
      <c r="B13" t="s">
        <v>69</v>
      </c>
      <c r="C13">
        <v>0.5</v>
      </c>
      <c r="D13" s="2" t="s">
        <v>70</v>
      </c>
      <c r="E13" s="2" t="s">
        <v>70</v>
      </c>
      <c r="F13">
        <f>C1/30*F12</f>
        <v>30</v>
      </c>
      <c r="G13" s="2" t="s">
        <v>70</v>
      </c>
      <c r="H13" s="23">
        <v>9</v>
      </c>
      <c r="I13" t="s">
        <v>68</v>
      </c>
      <c r="J13" t="s">
        <v>65</v>
      </c>
    </row>
    <row r="14" spans="1:11" x14ac:dyDescent="0.3">
      <c r="A14" t="s">
        <v>64</v>
      </c>
      <c r="B14" t="s">
        <v>74</v>
      </c>
      <c r="C14">
        <v>1</v>
      </c>
      <c r="D14">
        <v>1</v>
      </c>
      <c r="E14">
        <v>500</v>
      </c>
      <c r="F14">
        <f>E14*C14/C1</f>
        <v>1.1111111111111112</v>
      </c>
      <c r="G14" t="s">
        <v>71</v>
      </c>
      <c r="H14" t="s">
        <v>73</v>
      </c>
      <c r="I14" t="s">
        <v>72</v>
      </c>
    </row>
    <row r="15" spans="1:11" x14ac:dyDescent="0.3">
      <c r="F15">
        <f>ROUNDUP(F14,0)</f>
        <v>2</v>
      </c>
    </row>
    <row r="16" spans="1:11" x14ac:dyDescent="0.3">
      <c r="A16" t="s">
        <v>64</v>
      </c>
      <c r="B16" t="s">
        <v>124</v>
      </c>
      <c r="C16">
        <v>0.67</v>
      </c>
      <c r="F16">
        <f>C1/40</f>
        <v>11.25</v>
      </c>
    </row>
    <row r="17" spans="1:11" x14ac:dyDescent="0.3">
      <c r="A17" t="s">
        <v>64</v>
      </c>
      <c r="B17" t="s">
        <v>75</v>
      </c>
      <c r="C17">
        <v>1.5</v>
      </c>
      <c r="D17">
        <v>3</v>
      </c>
      <c r="E17">
        <f>250</f>
        <v>250</v>
      </c>
      <c r="F17">
        <f>E17*C17/C1</f>
        <v>0.83333333333333337</v>
      </c>
      <c r="G17" t="s">
        <v>79</v>
      </c>
      <c r="H17" t="s">
        <v>81</v>
      </c>
      <c r="I17" t="s">
        <v>80</v>
      </c>
      <c r="J17" t="s">
        <v>77</v>
      </c>
    </row>
    <row r="18" spans="1:11" x14ac:dyDescent="0.3">
      <c r="F18">
        <f>ROUNDUP(F17,0)</f>
        <v>1</v>
      </c>
    </row>
    <row r="19" spans="1:11" x14ac:dyDescent="0.3">
      <c r="A19" t="s">
        <v>83</v>
      </c>
      <c r="B19" t="s">
        <v>84</v>
      </c>
      <c r="C19">
        <v>5</v>
      </c>
      <c r="D19">
        <v>1</v>
      </c>
      <c r="E19">
        <v>250</v>
      </c>
      <c r="F19">
        <f>E19*C19/C1</f>
        <v>2.7777777777777777</v>
      </c>
      <c r="G19" t="s">
        <v>71</v>
      </c>
      <c r="H19" s="23">
        <v>5000</v>
      </c>
      <c r="I19" t="s">
        <v>91</v>
      </c>
      <c r="J19" t="s">
        <v>86</v>
      </c>
    </row>
    <row r="20" spans="1:11" x14ac:dyDescent="0.3">
      <c r="F20">
        <f>ROUNDUP(F19,0)</f>
        <v>3</v>
      </c>
    </row>
    <row r="21" spans="1:11" x14ac:dyDescent="0.3">
      <c r="A21" t="s">
        <v>87</v>
      </c>
      <c r="B21" t="s">
        <v>88</v>
      </c>
      <c r="C21">
        <v>1</v>
      </c>
      <c r="D21">
        <v>1</v>
      </c>
      <c r="E21">
        <v>250</v>
      </c>
      <c r="F21">
        <f>E21*C21/C1</f>
        <v>0.55555555555555558</v>
      </c>
      <c r="G21" t="s">
        <v>71</v>
      </c>
      <c r="H21" s="23">
        <v>5000</v>
      </c>
      <c r="I21" t="s">
        <v>91</v>
      </c>
      <c r="J21" t="s">
        <v>89</v>
      </c>
      <c r="K21" t="s">
        <v>90</v>
      </c>
    </row>
    <row r="22" spans="1:11" x14ac:dyDescent="0.3">
      <c r="F22">
        <f>ROUNDUP(F21,0)</f>
        <v>1</v>
      </c>
    </row>
    <row r="23" spans="1:11" x14ac:dyDescent="0.3">
      <c r="A23" t="s">
        <v>97</v>
      </c>
      <c r="B23" t="s">
        <v>105</v>
      </c>
      <c r="C23">
        <v>5</v>
      </c>
      <c r="D23">
        <v>2</v>
      </c>
      <c r="E23">
        <v>250</v>
      </c>
      <c r="F23">
        <f>E23*C23/C1</f>
        <v>2.7777777777777777</v>
      </c>
      <c r="G23" s="21" t="s">
        <v>96</v>
      </c>
      <c r="H23" t="s">
        <v>95</v>
      </c>
      <c r="I23" t="s">
        <v>94</v>
      </c>
      <c r="J23" t="s">
        <v>93</v>
      </c>
    </row>
    <row r="24" spans="1:11" x14ac:dyDescent="0.3">
      <c r="A24" t="s">
        <v>92</v>
      </c>
      <c r="B24" t="s">
        <v>105</v>
      </c>
      <c r="C24">
        <v>1</v>
      </c>
      <c r="D24">
        <v>1</v>
      </c>
      <c r="E24">
        <v>50</v>
      </c>
      <c r="F24" t="e">
        <f>E24*C24/C2</f>
        <v>#DIV/0!</v>
      </c>
      <c r="G24" s="21" t="s">
        <v>96</v>
      </c>
      <c r="H24" t="s">
        <v>95</v>
      </c>
      <c r="I24" t="s">
        <v>99</v>
      </c>
    </row>
    <row r="25" spans="1:11" x14ac:dyDescent="0.3">
      <c r="F25" t="e">
        <f>ROUNDUP(F23+F24,0)</f>
        <v>#DIV/0!</v>
      </c>
    </row>
    <row r="26" spans="1:11" s="25" customFormat="1" x14ac:dyDescent="0.3">
      <c r="A26" s="25" t="s">
        <v>18</v>
      </c>
      <c r="B26" s="25" t="s">
        <v>98</v>
      </c>
      <c r="C26" s="25">
        <v>3</v>
      </c>
      <c r="D26" s="25">
        <v>1</v>
      </c>
      <c r="E26" s="25">
        <v>1000</v>
      </c>
      <c r="F26" s="25">
        <f>E26*C26/C1</f>
        <v>6.666666666666667</v>
      </c>
      <c r="G26" s="26" t="s">
        <v>101</v>
      </c>
      <c r="H26" s="25" t="s">
        <v>102</v>
      </c>
      <c r="I26" s="25" t="s">
        <v>100</v>
      </c>
    </row>
    <row r="27" spans="1:11" s="25" customFormat="1" x14ac:dyDescent="0.3">
      <c r="F27" s="25">
        <f>ROUNDUP(F26,0)</f>
        <v>7</v>
      </c>
    </row>
    <row r="28" spans="1:11" x14ac:dyDescent="0.3">
      <c r="A28" t="s">
        <v>18</v>
      </c>
      <c r="B28" t="s">
        <v>59</v>
      </c>
      <c r="C28">
        <v>5</v>
      </c>
      <c r="D28">
        <v>1</v>
      </c>
      <c r="E28">
        <v>1000</v>
      </c>
      <c r="F28">
        <f>E28*C28/C1</f>
        <v>11.111111111111111</v>
      </c>
      <c r="G28" s="21" t="s">
        <v>60</v>
      </c>
      <c r="H28" t="s">
        <v>63</v>
      </c>
      <c r="I28" t="s">
        <v>62</v>
      </c>
      <c r="J28" t="s">
        <v>103</v>
      </c>
    </row>
    <row r="29" spans="1:11" x14ac:dyDescent="0.3">
      <c r="F29">
        <f>ROUNDUP(F28,0)</f>
        <v>12</v>
      </c>
      <c r="G29" s="21"/>
    </row>
    <row r="30" spans="1:11" x14ac:dyDescent="0.3">
      <c r="A30" t="s">
        <v>18</v>
      </c>
      <c r="B30" t="s">
        <v>106</v>
      </c>
      <c r="C30">
        <v>10</v>
      </c>
      <c r="D30">
        <v>1</v>
      </c>
      <c r="E30">
        <v>50</v>
      </c>
      <c r="F30">
        <f>E30*C30/C1</f>
        <v>1.1111111111111112</v>
      </c>
      <c r="G30" t="s">
        <v>104</v>
      </c>
      <c r="H30">
        <v>0</v>
      </c>
    </row>
    <row r="31" spans="1:11" x14ac:dyDescent="0.3">
      <c r="F31">
        <f>ROUNDUP(F30,0)</f>
        <v>2</v>
      </c>
    </row>
    <row r="32" spans="1:11" x14ac:dyDescent="0.3">
      <c r="A32" t="s">
        <v>125</v>
      </c>
      <c r="B32" t="s">
        <v>126</v>
      </c>
      <c r="I32" t="s">
        <v>127</v>
      </c>
    </row>
    <row r="33" spans="3:6" x14ac:dyDescent="0.3">
      <c r="C33" t="s">
        <v>143</v>
      </c>
      <c r="D33">
        <v>2</v>
      </c>
    </row>
    <row r="34" spans="3:6" x14ac:dyDescent="0.3">
      <c r="C34" t="s">
        <v>144</v>
      </c>
      <c r="D34">
        <v>2</v>
      </c>
    </row>
    <row r="35" spans="3:6" x14ac:dyDescent="0.3">
      <c r="C35" t="s">
        <v>145</v>
      </c>
      <c r="D35">
        <v>3</v>
      </c>
    </row>
    <row r="36" spans="3:6" x14ac:dyDescent="0.3">
      <c r="D36">
        <f>D5*F6</f>
        <v>6</v>
      </c>
    </row>
    <row r="37" spans="3:6" x14ac:dyDescent="0.3">
      <c r="D37">
        <v>16</v>
      </c>
    </row>
    <row r="38" spans="3:6" x14ac:dyDescent="0.3">
      <c r="D38">
        <v>16</v>
      </c>
    </row>
    <row r="39" spans="3:6" x14ac:dyDescent="0.3">
      <c r="D39">
        <v>14</v>
      </c>
    </row>
    <row r="40" spans="3:6" x14ac:dyDescent="0.3">
      <c r="C40" t="s">
        <v>146</v>
      </c>
      <c r="D40">
        <v>2</v>
      </c>
    </row>
    <row r="41" spans="3:6" x14ac:dyDescent="0.3">
      <c r="C41" t="s">
        <v>148</v>
      </c>
      <c r="D41">
        <v>4</v>
      </c>
      <c r="E41" t="s">
        <v>149</v>
      </c>
      <c r="F41">
        <v>20</v>
      </c>
    </row>
    <row r="42" spans="3:6" x14ac:dyDescent="0.3">
      <c r="C42" t="s">
        <v>150</v>
      </c>
      <c r="D42">
        <v>5</v>
      </c>
    </row>
    <row r="43" spans="3:6" x14ac:dyDescent="0.3">
      <c r="C43" s="1" t="s">
        <v>147</v>
      </c>
      <c r="D43" s="1">
        <f>SUM(D33:D42)</f>
        <v>70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CB49-27B5-4EBD-9C43-3DA860A4A1CD}">
  <dimension ref="A1:T43"/>
  <sheetViews>
    <sheetView topLeftCell="A16" workbookViewId="0">
      <selection activeCell="F42" sqref="F42"/>
    </sheetView>
  </sheetViews>
  <sheetFormatPr defaultRowHeight="14.4" x14ac:dyDescent="0.3"/>
  <cols>
    <col min="1" max="1" width="19.6640625" bestFit="1" customWidth="1"/>
    <col min="2" max="2" width="13.33203125" bestFit="1" customWidth="1"/>
    <col min="3" max="3" width="19.109375" customWidth="1"/>
    <col min="4" max="4" width="18.88671875" bestFit="1" customWidth="1"/>
    <col min="5" max="5" width="9.33203125" customWidth="1"/>
    <col min="6" max="6" width="13.21875" bestFit="1" customWidth="1"/>
  </cols>
  <sheetData>
    <row r="1" spans="1:14" x14ac:dyDescent="0.3">
      <c r="A1" t="s">
        <v>109</v>
      </c>
      <c r="C1" t="s">
        <v>108</v>
      </c>
    </row>
    <row r="2" spans="1:14" x14ac:dyDescent="0.3">
      <c r="A2" t="s">
        <v>110</v>
      </c>
      <c r="B2" t="s">
        <v>111</v>
      </c>
      <c r="C2" t="s">
        <v>112</v>
      </c>
      <c r="D2" t="s">
        <v>119</v>
      </c>
      <c r="E2" t="s">
        <v>113</v>
      </c>
      <c r="G2" t="s">
        <v>114</v>
      </c>
      <c r="H2" t="s">
        <v>115</v>
      </c>
      <c r="J2" t="s">
        <v>116</v>
      </c>
      <c r="L2" t="s">
        <v>117</v>
      </c>
      <c r="N2" t="s">
        <v>118</v>
      </c>
    </row>
    <row r="3" spans="1:14" x14ac:dyDescent="0.3">
      <c r="A3">
        <f>3*B13</f>
        <v>750</v>
      </c>
      <c r="B3">
        <v>0.04</v>
      </c>
      <c r="C3">
        <v>0.6</v>
      </c>
      <c r="D3">
        <v>14</v>
      </c>
      <c r="E3">
        <v>5</v>
      </c>
      <c r="F3">
        <f>D3*E3</f>
        <v>70</v>
      </c>
      <c r="G3">
        <v>0.02</v>
      </c>
      <c r="H3">
        <v>0.4</v>
      </c>
      <c r="I3">
        <v>18</v>
      </c>
      <c r="J3">
        <v>1.52</v>
      </c>
      <c r="K3">
        <f>F3*I3</f>
        <v>1260</v>
      </c>
      <c r="L3">
        <v>2</v>
      </c>
      <c r="M3">
        <f>K3*1</f>
        <v>1260</v>
      </c>
      <c r="N3">
        <f>M3/A3</f>
        <v>1.68</v>
      </c>
    </row>
    <row r="4" spans="1:14" x14ac:dyDescent="0.3">
      <c r="A4">
        <f>6*B14</f>
        <v>1500</v>
      </c>
      <c r="B4">
        <v>0.04</v>
      </c>
      <c r="C4">
        <v>0.6</v>
      </c>
      <c r="D4">
        <v>14</v>
      </c>
      <c r="E4">
        <v>5</v>
      </c>
      <c r="F4">
        <f t="shared" ref="F4:F10" si="0">D4*E4</f>
        <v>70</v>
      </c>
      <c r="G4">
        <v>0.02</v>
      </c>
      <c r="H4">
        <v>0.4</v>
      </c>
      <c r="I4">
        <v>18</v>
      </c>
      <c r="J4">
        <v>1</v>
      </c>
      <c r="K4">
        <f t="shared" ref="K4:K10" si="1">F4*I4</f>
        <v>1260</v>
      </c>
      <c r="L4">
        <v>2</v>
      </c>
      <c r="M4">
        <f>K4*1/2</f>
        <v>630</v>
      </c>
      <c r="N4">
        <f t="shared" ref="N4:N10" si="2">M4/A4</f>
        <v>0.42</v>
      </c>
    </row>
    <row r="5" spans="1:14" x14ac:dyDescent="0.3">
      <c r="A5">
        <f>6*B15</f>
        <v>504</v>
      </c>
      <c r="B5">
        <v>0.04</v>
      </c>
      <c r="C5">
        <v>0.6</v>
      </c>
      <c r="D5">
        <v>14</v>
      </c>
      <c r="E5">
        <v>5</v>
      </c>
      <c r="F5">
        <f t="shared" si="0"/>
        <v>70</v>
      </c>
      <c r="G5">
        <v>0.02</v>
      </c>
      <c r="H5">
        <v>0.4</v>
      </c>
      <c r="I5">
        <v>18</v>
      </c>
      <c r="J5">
        <v>1</v>
      </c>
      <c r="K5">
        <f t="shared" si="1"/>
        <v>1260</v>
      </c>
      <c r="L5">
        <v>2</v>
      </c>
      <c r="M5">
        <f>K5*1/2</f>
        <v>630</v>
      </c>
      <c r="N5">
        <f t="shared" si="2"/>
        <v>1.25</v>
      </c>
    </row>
    <row r="6" spans="1:14" x14ac:dyDescent="0.3">
      <c r="A6">
        <f>6*B16</f>
        <v>750</v>
      </c>
      <c r="B6">
        <v>0.04</v>
      </c>
      <c r="C6">
        <v>0.6</v>
      </c>
      <c r="D6">
        <v>14</v>
      </c>
      <c r="E6">
        <v>5</v>
      </c>
      <c r="F6">
        <f t="shared" si="0"/>
        <v>70</v>
      </c>
      <c r="G6">
        <v>0.02</v>
      </c>
      <c r="H6">
        <v>0.4</v>
      </c>
      <c r="I6">
        <v>18</v>
      </c>
      <c r="J6">
        <v>0.94</v>
      </c>
      <c r="K6">
        <f t="shared" si="1"/>
        <v>1260</v>
      </c>
      <c r="L6">
        <v>2</v>
      </c>
      <c r="M6">
        <f t="shared" ref="M6:M9" si="3">K6*1/2</f>
        <v>630</v>
      </c>
      <c r="N6">
        <f t="shared" si="2"/>
        <v>0.84</v>
      </c>
    </row>
    <row r="7" spans="1:14" x14ac:dyDescent="0.3">
      <c r="A7">
        <f>1*B13</f>
        <v>250</v>
      </c>
      <c r="B7">
        <v>0.04</v>
      </c>
      <c r="C7">
        <v>0.6</v>
      </c>
      <c r="D7">
        <v>14</v>
      </c>
      <c r="E7">
        <v>5</v>
      </c>
      <c r="F7">
        <f t="shared" si="0"/>
        <v>70</v>
      </c>
      <c r="G7">
        <v>0.02</v>
      </c>
      <c r="H7">
        <v>0.4</v>
      </c>
      <c r="I7">
        <v>18</v>
      </c>
      <c r="J7">
        <v>0.96</v>
      </c>
      <c r="K7">
        <f t="shared" si="1"/>
        <v>1260</v>
      </c>
      <c r="L7">
        <v>2</v>
      </c>
      <c r="M7">
        <f t="shared" si="3"/>
        <v>630</v>
      </c>
      <c r="N7">
        <f t="shared" si="2"/>
        <v>2.52</v>
      </c>
    </row>
    <row r="8" spans="1:14" x14ac:dyDescent="0.3">
      <c r="A8">
        <f>6*B17</f>
        <v>6252</v>
      </c>
      <c r="B8">
        <v>0.1016</v>
      </c>
      <c r="C8">
        <v>0.6</v>
      </c>
      <c r="D8">
        <v>5</v>
      </c>
      <c r="E8">
        <v>5</v>
      </c>
      <c r="F8">
        <f t="shared" si="0"/>
        <v>25</v>
      </c>
      <c r="G8">
        <v>9.5200000000000007E-2</v>
      </c>
      <c r="H8">
        <v>0.4</v>
      </c>
      <c r="I8">
        <v>3</v>
      </c>
      <c r="J8">
        <v>1</v>
      </c>
      <c r="K8">
        <f t="shared" si="1"/>
        <v>75</v>
      </c>
      <c r="L8">
        <v>2</v>
      </c>
      <c r="M8">
        <f t="shared" si="3"/>
        <v>37.5</v>
      </c>
      <c r="N8">
        <f t="shared" si="2"/>
        <v>5.9980806142034548E-3</v>
      </c>
    </row>
    <row r="9" spans="1:14" x14ac:dyDescent="0.3">
      <c r="A9">
        <f>8*B18</f>
        <v>1000</v>
      </c>
      <c r="B9">
        <v>0.06</v>
      </c>
      <c r="C9">
        <v>0.6</v>
      </c>
      <c r="D9">
        <v>8</v>
      </c>
      <c r="E9">
        <v>5</v>
      </c>
      <c r="F9">
        <f t="shared" si="0"/>
        <v>40</v>
      </c>
      <c r="G9">
        <v>0.06</v>
      </c>
      <c r="H9">
        <v>0.4</v>
      </c>
      <c r="I9">
        <v>5</v>
      </c>
      <c r="J9">
        <v>0.7</v>
      </c>
      <c r="K9">
        <f t="shared" si="1"/>
        <v>200</v>
      </c>
      <c r="L9">
        <v>2</v>
      </c>
      <c r="M9">
        <f t="shared" si="3"/>
        <v>100</v>
      </c>
      <c r="N9">
        <f t="shared" si="2"/>
        <v>0.1</v>
      </c>
    </row>
    <row r="10" spans="1:14" x14ac:dyDescent="0.3">
      <c r="A10">
        <f>1*B19</f>
        <v>1000</v>
      </c>
      <c r="B10">
        <v>2.5399999999999999E-2</v>
      </c>
      <c r="C10">
        <v>0.6</v>
      </c>
      <c r="D10">
        <v>22</v>
      </c>
      <c r="E10">
        <v>5</v>
      </c>
      <c r="F10">
        <f t="shared" si="0"/>
        <v>110</v>
      </c>
      <c r="G10">
        <v>2.5399999999999999E-2</v>
      </c>
      <c r="H10">
        <v>0.4</v>
      </c>
      <c r="I10">
        <v>14</v>
      </c>
      <c r="J10">
        <v>6</v>
      </c>
      <c r="K10">
        <f t="shared" si="1"/>
        <v>1540</v>
      </c>
      <c r="L10">
        <v>2</v>
      </c>
      <c r="M10">
        <f t="shared" ref="M10" si="4">K10*1</f>
        <v>1540</v>
      </c>
      <c r="N10">
        <f t="shared" si="2"/>
        <v>1.54</v>
      </c>
    </row>
    <row r="11" spans="1:14" x14ac:dyDescent="0.3">
      <c r="N11">
        <f>SUM(N3:N10)</f>
        <v>8.3559980806142029</v>
      </c>
    </row>
    <row r="12" spans="1:14" x14ac:dyDescent="0.3">
      <c r="A12" s="24" t="s">
        <v>35</v>
      </c>
      <c r="B12" s="24" t="s">
        <v>27</v>
      </c>
      <c r="C12" s="24" t="s">
        <v>120</v>
      </c>
      <c r="D12" s="24" t="s">
        <v>121</v>
      </c>
    </row>
    <row r="13" spans="1:14" x14ac:dyDescent="0.3">
      <c r="A13" s="1" t="s">
        <v>34</v>
      </c>
      <c r="B13">
        <v>250</v>
      </c>
      <c r="C13">
        <v>5.5600000000000005</v>
      </c>
      <c r="D13">
        <f>(6-C13)*F13*G13*B13</f>
        <v>8.7999999999999898E-2</v>
      </c>
      <c r="F13">
        <v>0.04</v>
      </c>
      <c r="G13">
        <v>0.02</v>
      </c>
      <c r="N13" t="s">
        <v>128</v>
      </c>
    </row>
    <row r="14" spans="1:14" x14ac:dyDescent="0.3">
      <c r="A14" s="1" t="s">
        <v>30</v>
      </c>
      <c r="B14">
        <v>250</v>
      </c>
      <c r="C14">
        <v>6</v>
      </c>
      <c r="D14">
        <f>(6-C14)*F14*G14*B14</f>
        <v>0</v>
      </c>
      <c r="F14">
        <v>0.04</v>
      </c>
      <c r="G14">
        <v>0.02</v>
      </c>
      <c r="K14">
        <f>0.2+0.76+0.1*19</f>
        <v>2.8600000000000003</v>
      </c>
    </row>
    <row r="15" spans="1:14" x14ac:dyDescent="0.3">
      <c r="A15" s="1" t="s">
        <v>36</v>
      </c>
      <c r="B15">
        <v>84</v>
      </c>
      <c r="C15">
        <v>5.64</v>
      </c>
      <c r="D15">
        <f t="shared" ref="D15:D19" si="5">(6-C15)*F15*G15*B15</f>
        <v>2.4192000000000023E-2</v>
      </c>
      <c r="F15">
        <v>0.04</v>
      </c>
      <c r="G15">
        <v>0.02</v>
      </c>
    </row>
    <row r="16" spans="1:14" x14ac:dyDescent="0.3">
      <c r="A16" s="1" t="s">
        <v>107</v>
      </c>
      <c r="B16">
        <v>125</v>
      </c>
      <c r="C16">
        <v>5.76</v>
      </c>
      <c r="D16">
        <f t="shared" si="5"/>
        <v>2.4000000000000025E-2</v>
      </c>
      <c r="F16">
        <v>0.04</v>
      </c>
      <c r="G16">
        <v>0.02</v>
      </c>
    </row>
    <row r="17" spans="1:20" x14ac:dyDescent="0.3">
      <c r="A17" s="1" t="s">
        <v>33</v>
      </c>
      <c r="B17">
        <v>1042</v>
      </c>
      <c r="C17">
        <v>6</v>
      </c>
      <c r="D17">
        <f t="shared" si="5"/>
        <v>0</v>
      </c>
      <c r="F17">
        <v>0.1016</v>
      </c>
      <c r="G17">
        <v>9.5200000000000007E-2</v>
      </c>
    </row>
    <row r="18" spans="1:20" x14ac:dyDescent="0.3">
      <c r="A18" s="1" t="s">
        <v>31</v>
      </c>
      <c r="B18">
        <v>125</v>
      </c>
      <c r="C18">
        <v>5.6</v>
      </c>
      <c r="D18">
        <f t="shared" si="5"/>
        <v>0.18000000000000016</v>
      </c>
      <c r="F18">
        <v>0.06</v>
      </c>
      <c r="G18">
        <v>0.06</v>
      </c>
    </row>
    <row r="19" spans="1:20" x14ac:dyDescent="0.3">
      <c r="A19" s="1" t="s">
        <v>32</v>
      </c>
      <c r="B19">
        <v>1000</v>
      </c>
      <c r="C19">
        <v>6</v>
      </c>
      <c r="D19">
        <f t="shared" si="5"/>
        <v>0</v>
      </c>
      <c r="F19">
        <v>2.5399999999999999E-2</v>
      </c>
      <c r="G19">
        <v>2.5399999999999999E-2</v>
      </c>
      <c r="O19">
        <f>200*5.1</f>
        <v>1019.9999999999999</v>
      </c>
    </row>
    <row r="20" spans="1:20" x14ac:dyDescent="0.3">
      <c r="D20">
        <f>SUM(D13:D19)</f>
        <v>0.31619200000000014</v>
      </c>
      <c r="O20">
        <f>0.48*1000</f>
        <v>480</v>
      </c>
    </row>
    <row r="21" spans="1:20" x14ac:dyDescent="0.3">
      <c r="O21">
        <f>SUM(O18:O20)</f>
        <v>1500</v>
      </c>
    </row>
    <row r="22" spans="1:20" x14ac:dyDescent="0.3">
      <c r="A22" s="1" t="s">
        <v>122</v>
      </c>
      <c r="B22" t="s">
        <v>123</v>
      </c>
      <c r="D22">
        <f>0.6*0.6*0.3</f>
        <v>0.108</v>
      </c>
    </row>
    <row r="23" spans="1:20" x14ac:dyDescent="0.3">
      <c r="O23">
        <f>6.5+6.5+3</f>
        <v>16</v>
      </c>
      <c r="P23">
        <v>15.5</v>
      </c>
      <c r="R23">
        <v>3.2</v>
      </c>
      <c r="S23">
        <f>0.6*50</f>
        <v>30</v>
      </c>
      <c r="T23">
        <f>R23*S23*5</f>
        <v>480</v>
      </c>
    </row>
    <row r="24" spans="1:20" x14ac:dyDescent="0.3">
      <c r="B24" t="s">
        <v>130</v>
      </c>
      <c r="C24" t="s">
        <v>131</v>
      </c>
      <c r="D24" t="s">
        <v>135</v>
      </c>
      <c r="E24" t="s">
        <v>132</v>
      </c>
      <c r="F24" t="s">
        <v>133</v>
      </c>
      <c r="G24" t="s">
        <v>134</v>
      </c>
      <c r="H24" t="s">
        <v>139</v>
      </c>
      <c r="I24" t="s">
        <v>140</v>
      </c>
      <c r="J24" t="s">
        <v>141</v>
      </c>
      <c r="K24" t="s">
        <v>142</v>
      </c>
      <c r="P24">
        <f>P23*5</f>
        <v>77.5</v>
      </c>
      <c r="R24">
        <v>1.5</v>
      </c>
      <c r="S24">
        <v>30</v>
      </c>
      <c r="T24">
        <f>R24*S24*4</f>
        <v>180</v>
      </c>
    </row>
    <row r="25" spans="1:20" x14ac:dyDescent="0.3">
      <c r="A25" t="s">
        <v>129</v>
      </c>
      <c r="B25">
        <v>709</v>
      </c>
      <c r="C25">
        <f>B25*10</f>
        <v>7090</v>
      </c>
      <c r="D25">
        <f>ROUNDUP(C25/0.95,0)</f>
        <v>7464</v>
      </c>
      <c r="E25">
        <v>6</v>
      </c>
      <c r="F25">
        <v>0.04</v>
      </c>
      <c r="G25">
        <v>0.02</v>
      </c>
      <c r="H25">
        <f>$B$31/F25</f>
        <v>20</v>
      </c>
      <c r="I25">
        <f>$B$32/G25</f>
        <v>15</v>
      </c>
      <c r="J25">
        <f>6*H25*I25</f>
        <v>1800</v>
      </c>
      <c r="K25">
        <f>ROUNDUP(D25/J25,0)</f>
        <v>5</v>
      </c>
    </row>
    <row r="26" spans="1:20" x14ac:dyDescent="0.3">
      <c r="A26" t="s">
        <v>15</v>
      </c>
      <c r="B26">
        <v>1042</v>
      </c>
      <c r="C26">
        <f t="shared" ref="C26:C28" si="6">B26*10</f>
        <v>10420</v>
      </c>
      <c r="D26">
        <f t="shared" ref="D26:D28" si="7">ROUNDUP(C26/0.95,0)</f>
        <v>10969</v>
      </c>
      <c r="E26">
        <v>6</v>
      </c>
      <c r="F26">
        <v>0.1016</v>
      </c>
      <c r="G26">
        <v>9.5200000000000007E-2</v>
      </c>
      <c r="H26">
        <f t="shared" ref="H26:H28" si="8">$B$31/F26</f>
        <v>7.8740157480314972</v>
      </c>
      <c r="I26">
        <f t="shared" ref="I26:I28" si="9">$B$32/G26</f>
        <v>3.1512605042016801</v>
      </c>
      <c r="J26">
        <f t="shared" ref="J26:J28" si="10">6*H26*I26</f>
        <v>148.87844901740223</v>
      </c>
      <c r="K26">
        <f t="shared" ref="K26:K28" si="11">ROUNDUP(D26/J26,0)</f>
        <v>74</v>
      </c>
      <c r="P26">
        <f>O23*P24</f>
        <v>1240</v>
      </c>
      <c r="R26">
        <f>P26+T24+T23</f>
        <v>1900</v>
      </c>
    </row>
    <row r="27" spans="1:20" x14ac:dyDescent="0.3">
      <c r="A27" t="s">
        <v>16</v>
      </c>
      <c r="B27">
        <v>125</v>
      </c>
      <c r="C27">
        <f t="shared" si="6"/>
        <v>1250</v>
      </c>
      <c r="D27">
        <f t="shared" si="7"/>
        <v>1316</v>
      </c>
      <c r="E27">
        <v>6</v>
      </c>
      <c r="F27">
        <v>0.06</v>
      </c>
      <c r="G27">
        <v>0.06</v>
      </c>
      <c r="H27">
        <f t="shared" si="8"/>
        <v>13.333333333333334</v>
      </c>
      <c r="I27">
        <f t="shared" si="9"/>
        <v>5</v>
      </c>
      <c r="J27">
        <f t="shared" si="10"/>
        <v>400</v>
      </c>
      <c r="K27">
        <f t="shared" si="11"/>
        <v>4</v>
      </c>
      <c r="P27" t="s">
        <v>151</v>
      </c>
      <c r="S27" t="s">
        <v>152</v>
      </c>
    </row>
    <row r="28" spans="1:20" x14ac:dyDescent="0.3">
      <c r="A28" t="s">
        <v>17</v>
      </c>
      <c r="B28">
        <v>1000</v>
      </c>
      <c r="C28">
        <f t="shared" si="6"/>
        <v>10000</v>
      </c>
      <c r="D28">
        <f t="shared" si="7"/>
        <v>10527</v>
      </c>
      <c r="E28">
        <v>6</v>
      </c>
      <c r="F28">
        <v>2.5399999999999999E-2</v>
      </c>
      <c r="G28">
        <v>2.5399999999999999E-2</v>
      </c>
      <c r="H28">
        <f t="shared" si="8"/>
        <v>31.496062992125989</v>
      </c>
      <c r="I28">
        <f t="shared" si="9"/>
        <v>11.811023622047244</v>
      </c>
      <c r="J28">
        <f t="shared" si="10"/>
        <v>2232.0044640089286</v>
      </c>
      <c r="K28">
        <f t="shared" si="11"/>
        <v>5</v>
      </c>
    </row>
    <row r="29" spans="1:20" x14ac:dyDescent="0.3">
      <c r="D29">
        <f>SUM(D25:D28)</f>
        <v>30276</v>
      </c>
      <c r="H29">
        <f>SUM(H25:H28)</f>
        <v>72.703412073490824</v>
      </c>
      <c r="I29">
        <f>SUM(I25:I28)</f>
        <v>34.962284126248925</v>
      </c>
      <c r="K29">
        <f>SUM(K25:K28)</f>
        <v>88</v>
      </c>
      <c r="L29">
        <f>K29/105*5</f>
        <v>4.1904761904761907</v>
      </c>
    </row>
    <row r="30" spans="1:20" x14ac:dyDescent="0.3">
      <c r="A30" t="s">
        <v>136</v>
      </c>
      <c r="B30">
        <v>0.6</v>
      </c>
    </row>
    <row r="31" spans="1:20" x14ac:dyDescent="0.3">
      <c r="A31" t="s">
        <v>137</v>
      </c>
      <c r="B31">
        <v>0.8</v>
      </c>
      <c r="K31">
        <f>88*7*3</f>
        <v>1848</v>
      </c>
    </row>
    <row r="32" spans="1:20" x14ac:dyDescent="0.3">
      <c r="A32" t="s">
        <v>138</v>
      </c>
      <c r="B32">
        <v>0.3</v>
      </c>
    </row>
    <row r="34" spans="1:6" x14ac:dyDescent="0.3">
      <c r="A34" s="32" t="s">
        <v>54</v>
      </c>
      <c r="B34" s="32" t="s">
        <v>236</v>
      </c>
      <c r="C34" s="32" t="s">
        <v>186</v>
      </c>
      <c r="D34" s="32" t="s">
        <v>239</v>
      </c>
      <c r="E34" s="32" t="s">
        <v>237</v>
      </c>
      <c r="F34" s="32" t="s">
        <v>238</v>
      </c>
    </row>
    <row r="35" spans="1:6" x14ac:dyDescent="0.3">
      <c r="A35" s="32" t="s">
        <v>234</v>
      </c>
      <c r="B35" s="32">
        <v>1.52</v>
      </c>
      <c r="C35" s="32">
        <v>250</v>
      </c>
      <c r="D35" s="32">
        <f>B35*C35</f>
        <v>380</v>
      </c>
      <c r="E35" s="32">
        <v>48</v>
      </c>
      <c r="F35" s="32">
        <f>D35/E35</f>
        <v>7.916666666666667</v>
      </c>
    </row>
    <row r="36" spans="1:6" x14ac:dyDescent="0.3">
      <c r="A36" s="32" t="s">
        <v>233</v>
      </c>
      <c r="B36" s="32">
        <v>0.96</v>
      </c>
      <c r="C36" s="32">
        <v>250</v>
      </c>
      <c r="D36" s="32">
        <f t="shared" ref="D36:D39" si="12">B36*C36</f>
        <v>240</v>
      </c>
      <c r="E36" s="32">
        <v>48</v>
      </c>
      <c r="F36" s="32">
        <f t="shared" ref="F36:F39" si="13">D36/E36</f>
        <v>5</v>
      </c>
    </row>
    <row r="37" spans="1:6" x14ac:dyDescent="0.3">
      <c r="A37" s="32" t="s">
        <v>87</v>
      </c>
      <c r="B37" s="32">
        <v>4.2000000000000003E-2</v>
      </c>
      <c r="C37" s="32">
        <v>1000</v>
      </c>
      <c r="D37" s="32">
        <f t="shared" si="12"/>
        <v>42</v>
      </c>
      <c r="E37" s="32">
        <v>48</v>
      </c>
      <c r="F37" s="32">
        <f t="shared" si="13"/>
        <v>0.875</v>
      </c>
    </row>
    <row r="38" spans="1:6" x14ac:dyDescent="0.3">
      <c r="A38" s="32" t="s">
        <v>235</v>
      </c>
      <c r="B38" s="32">
        <v>0.94</v>
      </c>
      <c r="C38" s="32">
        <v>250</v>
      </c>
      <c r="D38" s="32">
        <f t="shared" si="12"/>
        <v>235</v>
      </c>
      <c r="E38" s="32">
        <v>48</v>
      </c>
      <c r="F38" s="32">
        <f t="shared" si="13"/>
        <v>4.895833333333333</v>
      </c>
    </row>
    <row r="39" spans="1:6" x14ac:dyDescent="0.3">
      <c r="A39" s="32" t="s">
        <v>240</v>
      </c>
      <c r="B39" s="32">
        <v>0.15240000000000001</v>
      </c>
      <c r="C39" s="32">
        <v>5000</v>
      </c>
      <c r="D39" s="32">
        <f t="shared" si="12"/>
        <v>762</v>
      </c>
      <c r="E39" s="32">
        <v>48</v>
      </c>
      <c r="F39" s="32">
        <f t="shared" si="13"/>
        <v>15.875</v>
      </c>
    </row>
    <row r="40" spans="1:6" x14ac:dyDescent="0.3">
      <c r="A40" s="32"/>
      <c r="B40" s="32"/>
      <c r="C40" s="32"/>
      <c r="D40" s="32">
        <f>SUM(D35:D39)</f>
        <v>1659</v>
      </c>
      <c r="E40" s="32"/>
      <c r="F40" s="32">
        <f>SUM(F35:F39)</f>
        <v>34.5625</v>
      </c>
    </row>
    <row r="42" spans="1:6" x14ac:dyDescent="0.3">
      <c r="F42">
        <f>35*4</f>
        <v>140</v>
      </c>
    </row>
    <row r="43" spans="1:6" x14ac:dyDescent="0.3">
      <c r="F43">
        <f>F42/2</f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83AD-26A9-48C1-99EF-2969ABA0479C}">
  <dimension ref="A1:AD42"/>
  <sheetViews>
    <sheetView workbookViewId="0">
      <selection activeCell="E7" sqref="E7"/>
    </sheetView>
  </sheetViews>
  <sheetFormatPr defaultRowHeight="14.4" x14ac:dyDescent="0.3"/>
  <cols>
    <col min="1" max="1" width="18.5546875" style="1" bestFit="1" customWidth="1"/>
    <col min="2" max="2" width="17.5546875" bestFit="1" customWidth="1"/>
    <col min="3" max="3" width="8.77734375" bestFit="1" customWidth="1"/>
    <col min="4" max="4" width="9" bestFit="1" customWidth="1"/>
    <col min="8" max="8" width="8.109375" customWidth="1"/>
    <col min="9" max="9" width="5" bestFit="1" customWidth="1"/>
    <col min="10" max="10" width="4.33203125" customWidth="1"/>
    <col min="11" max="11" width="5.21875" customWidth="1"/>
    <col min="12" max="12" width="4.5546875" customWidth="1"/>
    <col min="13" max="13" width="3.77734375" customWidth="1"/>
    <col min="14" max="14" width="3.5546875" customWidth="1"/>
    <col min="15" max="15" width="3.21875" customWidth="1"/>
    <col min="16" max="16" width="3.5546875" customWidth="1"/>
    <col min="17" max="18" width="4.109375" customWidth="1"/>
    <col min="19" max="19" width="3.44140625" customWidth="1"/>
    <col min="21" max="21" width="5.33203125" bestFit="1" customWidth="1"/>
    <col min="22" max="22" width="5.88671875" bestFit="1" customWidth="1"/>
    <col min="23" max="23" width="7.33203125" bestFit="1" customWidth="1"/>
    <col min="24" max="24" width="7" bestFit="1" customWidth="1"/>
    <col min="25" max="25" width="5.88671875" bestFit="1" customWidth="1"/>
  </cols>
  <sheetData>
    <row r="1" spans="1:30" s="1" customFormat="1" x14ac:dyDescent="0.3">
      <c r="B1" s="1" t="s">
        <v>154</v>
      </c>
      <c r="C1" s="1" t="s">
        <v>155</v>
      </c>
      <c r="D1" s="1" t="s">
        <v>156</v>
      </c>
      <c r="G1" s="30" t="s">
        <v>192</v>
      </c>
      <c r="H1" s="31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30" x14ac:dyDescent="0.3">
      <c r="A2" s="1" t="s">
        <v>153</v>
      </c>
      <c r="B2">
        <f>D2/C2</f>
        <v>21.876136363636366</v>
      </c>
      <c r="C2">
        <v>88</v>
      </c>
      <c r="D2">
        <f>E33</f>
        <v>1925.1000000000001</v>
      </c>
      <c r="E2">
        <f>D2*1.2</f>
        <v>2310.12</v>
      </c>
      <c r="G2" s="18">
        <v>5</v>
      </c>
      <c r="H2" s="13" t="s">
        <v>193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U2" t="s">
        <v>171</v>
      </c>
      <c r="V2" t="s">
        <v>172</v>
      </c>
      <c r="W2" t="s">
        <v>181</v>
      </c>
      <c r="X2" t="s">
        <v>176</v>
      </c>
      <c r="Y2" t="s">
        <v>178</v>
      </c>
    </row>
    <row r="3" spans="1:30" x14ac:dyDescent="0.3">
      <c r="A3" s="1" t="s">
        <v>157</v>
      </c>
      <c r="B3">
        <f>E36</f>
        <v>60.75</v>
      </c>
      <c r="C3">
        <v>3</v>
      </c>
      <c r="D3">
        <f t="shared" ref="D3:D20" si="0">B3*C3</f>
        <v>182.25</v>
      </c>
      <c r="E3">
        <f t="shared" ref="E3:E20" si="1">D3*1.2</f>
        <v>218.7</v>
      </c>
      <c r="G3" s="18">
        <v>6</v>
      </c>
      <c r="H3" s="13"/>
      <c r="T3" t="s">
        <v>173</v>
      </c>
      <c r="U3">
        <v>6.5</v>
      </c>
      <c r="V3">
        <v>15.5</v>
      </c>
      <c r="W3">
        <v>10</v>
      </c>
      <c r="X3">
        <f>U3*V3*W3</f>
        <v>1007.5</v>
      </c>
      <c r="Y3" t="s">
        <v>179</v>
      </c>
      <c r="Z3">
        <f>6.5*10+33</f>
        <v>98</v>
      </c>
    </row>
    <row r="4" spans="1:30" x14ac:dyDescent="0.3">
      <c r="A4" s="1" t="s">
        <v>98</v>
      </c>
      <c r="B4">
        <f>4.95*2.75</f>
        <v>13.612500000000001</v>
      </c>
      <c r="C4">
        <v>7</v>
      </c>
      <c r="D4">
        <f t="shared" si="0"/>
        <v>95.287500000000009</v>
      </c>
      <c r="E4">
        <f t="shared" si="1"/>
        <v>114.34500000000001</v>
      </c>
      <c r="G4" s="18">
        <v>7</v>
      </c>
      <c r="H4" s="13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t="s">
        <v>174</v>
      </c>
      <c r="U4">
        <v>3</v>
      </c>
      <c r="V4">
        <v>15.5</v>
      </c>
      <c r="W4">
        <v>9</v>
      </c>
      <c r="X4">
        <f t="shared" ref="X4:X11" si="2">U4*V4*W4</f>
        <v>418.5</v>
      </c>
    </row>
    <row r="5" spans="1:30" x14ac:dyDescent="0.3">
      <c r="A5" s="1" t="s">
        <v>59</v>
      </c>
      <c r="B5">
        <f>4*3.5</f>
        <v>14</v>
      </c>
      <c r="C5">
        <v>24</v>
      </c>
      <c r="D5">
        <f>B5*C5</f>
        <v>336</v>
      </c>
      <c r="E5">
        <f t="shared" si="1"/>
        <v>403.2</v>
      </c>
      <c r="G5" s="18">
        <v>24</v>
      </c>
      <c r="H5" s="13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t="s">
        <v>175</v>
      </c>
      <c r="U5">
        <v>3</v>
      </c>
      <c r="V5">
        <f>6.5*10+3*9</f>
        <v>92</v>
      </c>
      <c r="W5">
        <v>3</v>
      </c>
      <c r="X5">
        <f t="shared" si="2"/>
        <v>828</v>
      </c>
    </row>
    <row r="6" spans="1:30" x14ac:dyDescent="0.3">
      <c r="A6" s="1" t="s">
        <v>53</v>
      </c>
      <c r="B6">
        <f>4*5.2</f>
        <v>20.8</v>
      </c>
      <c r="C6">
        <v>3</v>
      </c>
      <c r="D6">
        <f>B6*C6</f>
        <v>62.400000000000006</v>
      </c>
      <c r="E6">
        <f t="shared" si="1"/>
        <v>74.88000000000001</v>
      </c>
      <c r="G6" s="18">
        <v>3</v>
      </c>
      <c r="H6" s="13"/>
      <c r="T6" t="s">
        <v>177</v>
      </c>
      <c r="U6">
        <v>6</v>
      </c>
      <c r="V6">
        <v>8</v>
      </c>
      <c r="W6">
        <v>10</v>
      </c>
      <c r="X6">
        <f t="shared" si="2"/>
        <v>480</v>
      </c>
      <c r="Y6" t="s">
        <v>180</v>
      </c>
      <c r="Z6">
        <f>6*5+2*7</f>
        <v>44</v>
      </c>
      <c r="AA6">
        <f>8*2+2*4</f>
        <v>24</v>
      </c>
      <c r="AB6">
        <f>Z6*AA6</f>
        <v>1056</v>
      </c>
    </row>
    <row r="7" spans="1:30" x14ac:dyDescent="0.3">
      <c r="A7" s="1" t="s">
        <v>158</v>
      </c>
      <c r="B7">
        <f>8*4</f>
        <v>32</v>
      </c>
      <c r="C7">
        <v>2</v>
      </c>
      <c r="D7">
        <f t="shared" si="0"/>
        <v>64</v>
      </c>
      <c r="E7">
        <f t="shared" si="1"/>
        <v>76.8</v>
      </c>
      <c r="G7" s="18">
        <v>2</v>
      </c>
      <c r="H7" s="13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t="s">
        <v>174</v>
      </c>
      <c r="U7">
        <v>3</v>
      </c>
      <c r="V7">
        <v>8</v>
      </c>
      <c r="W7">
        <v>9</v>
      </c>
      <c r="X7">
        <f t="shared" si="2"/>
        <v>216</v>
      </c>
    </row>
    <row r="8" spans="1:30" x14ac:dyDescent="0.3">
      <c r="A8" s="1" t="s">
        <v>159</v>
      </c>
      <c r="B8">
        <f>33*21</f>
        <v>693</v>
      </c>
      <c r="C8">
        <v>1</v>
      </c>
      <c r="D8">
        <f t="shared" si="0"/>
        <v>693</v>
      </c>
      <c r="E8">
        <f t="shared" si="1"/>
        <v>831.6</v>
      </c>
      <c r="G8" s="18">
        <v>6</v>
      </c>
      <c r="H8" s="13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X8">
        <f>SUM(X3:X7)</f>
        <v>2950</v>
      </c>
    </row>
    <row r="9" spans="1:30" x14ac:dyDescent="0.3">
      <c r="A9" s="1" t="s">
        <v>84</v>
      </c>
      <c r="B9">
        <f>3.55*4.75</f>
        <v>16.862500000000001</v>
      </c>
      <c r="C9">
        <v>3</v>
      </c>
      <c r="D9">
        <f t="shared" si="0"/>
        <v>50.587500000000006</v>
      </c>
      <c r="E9">
        <f t="shared" si="1"/>
        <v>60.705000000000005</v>
      </c>
      <c r="G9" s="18">
        <v>9</v>
      </c>
      <c r="H9" s="13"/>
      <c r="T9" t="s">
        <v>182</v>
      </c>
      <c r="U9">
        <v>0.4</v>
      </c>
      <c r="V9">
        <v>0.45</v>
      </c>
      <c r="W9">
        <v>18</v>
      </c>
      <c r="X9">
        <f t="shared" si="2"/>
        <v>3.24</v>
      </c>
    </row>
    <row r="10" spans="1:30" x14ac:dyDescent="0.3">
      <c r="A10" s="1" t="s">
        <v>160</v>
      </c>
      <c r="B10">
        <f>0.48</f>
        <v>0.48</v>
      </c>
      <c r="C10">
        <v>100</v>
      </c>
      <c r="D10">
        <f>B10*C10+1.5*6*3</f>
        <v>75</v>
      </c>
      <c r="E10">
        <f t="shared" si="1"/>
        <v>90</v>
      </c>
      <c r="F10" t="s">
        <v>168</v>
      </c>
      <c r="G10" s="18">
        <v>2</v>
      </c>
      <c r="H10" s="13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t="s">
        <v>174</v>
      </c>
      <c r="U10">
        <v>1.5</v>
      </c>
      <c r="V10">
        <f>V9*W9</f>
        <v>8.1</v>
      </c>
      <c r="W10">
        <v>1</v>
      </c>
      <c r="X10">
        <f t="shared" si="2"/>
        <v>12.149999999999999</v>
      </c>
    </row>
    <row r="11" spans="1:30" x14ac:dyDescent="0.3">
      <c r="A11" s="1" t="s">
        <v>184</v>
      </c>
      <c r="B11">
        <f>8*3</f>
        <v>24</v>
      </c>
      <c r="C11">
        <v>1</v>
      </c>
      <c r="D11">
        <f>B11*C11</f>
        <v>24</v>
      </c>
      <c r="E11">
        <f t="shared" si="1"/>
        <v>28.799999999999997</v>
      </c>
      <c r="G11" s="18">
        <v>2</v>
      </c>
      <c r="H11" s="13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t="s">
        <v>183</v>
      </c>
      <c r="U11">
        <f>2*U9+U10</f>
        <v>2.2999999999999998</v>
      </c>
      <c r="V11">
        <v>1.5</v>
      </c>
      <c r="W11">
        <v>1</v>
      </c>
      <c r="X11">
        <f t="shared" si="2"/>
        <v>3.4499999999999997</v>
      </c>
    </row>
    <row r="12" spans="1:30" x14ac:dyDescent="0.3">
      <c r="A12" s="1" t="s">
        <v>161</v>
      </c>
      <c r="B12">
        <f>5.55*4.95</f>
        <v>27.4725</v>
      </c>
      <c r="C12">
        <v>3</v>
      </c>
      <c r="D12">
        <f t="shared" si="0"/>
        <v>82.417500000000004</v>
      </c>
      <c r="E12">
        <f t="shared" si="1"/>
        <v>98.900999999999996</v>
      </c>
      <c r="G12" s="18">
        <v>12</v>
      </c>
      <c r="H12" s="13"/>
    </row>
    <row r="13" spans="1:30" x14ac:dyDescent="0.3">
      <c r="A13" s="1" t="s">
        <v>163</v>
      </c>
      <c r="B13">
        <f>D13/C13</f>
        <v>11.27</v>
      </c>
      <c r="C13">
        <f>200</f>
        <v>200</v>
      </c>
      <c r="D13">
        <f>SUM(X3:X5)</f>
        <v>2254</v>
      </c>
      <c r="E13">
        <f t="shared" si="1"/>
        <v>2704.7999999999997</v>
      </c>
      <c r="G13" s="18">
        <v>3</v>
      </c>
      <c r="H13" s="13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30" x14ac:dyDescent="0.3">
      <c r="A14" s="1" t="s">
        <v>162</v>
      </c>
      <c r="B14">
        <f>D14/C14</f>
        <v>1.056</v>
      </c>
      <c r="C14">
        <v>1000</v>
      </c>
      <c r="D14">
        <f>AB6</f>
        <v>1056</v>
      </c>
      <c r="E14">
        <f t="shared" si="1"/>
        <v>1267.2</v>
      </c>
      <c r="G14" s="18">
        <v>3</v>
      </c>
      <c r="H14" s="13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1:30" x14ac:dyDescent="0.3">
      <c r="A15" s="1" t="s">
        <v>143</v>
      </c>
      <c r="B15">
        <f>4.4*7</f>
        <v>30.800000000000004</v>
      </c>
      <c r="C15">
        <v>1</v>
      </c>
      <c r="D15">
        <f>B15*C15</f>
        <v>30.800000000000004</v>
      </c>
      <c r="E15">
        <f t="shared" si="1"/>
        <v>36.96</v>
      </c>
      <c r="G15" s="18">
        <v>2</v>
      </c>
      <c r="H15" s="13" t="s">
        <v>196</v>
      </c>
    </row>
    <row r="16" spans="1:30" x14ac:dyDescent="0.3">
      <c r="A16" s="27" t="s">
        <v>169</v>
      </c>
      <c r="B16">
        <v>62</v>
      </c>
      <c r="C16">
        <v>1</v>
      </c>
      <c r="D16">
        <f t="shared" si="0"/>
        <v>62</v>
      </c>
      <c r="E16">
        <f t="shared" si="1"/>
        <v>74.399999999999991</v>
      </c>
      <c r="G16" s="18">
        <v>9</v>
      </c>
      <c r="H16" s="13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x14ac:dyDescent="0.3">
      <c r="A17" s="27" t="s">
        <v>164</v>
      </c>
      <c r="B17">
        <v>16</v>
      </c>
      <c r="C17">
        <v>2</v>
      </c>
      <c r="D17">
        <f t="shared" si="0"/>
        <v>32</v>
      </c>
      <c r="E17">
        <f t="shared" si="1"/>
        <v>38.4</v>
      </c>
      <c r="G17" s="18"/>
      <c r="H17" s="13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ht="28.8" x14ac:dyDescent="0.3">
      <c r="A18" s="27" t="s">
        <v>165</v>
      </c>
      <c r="B18">
        <v>96</v>
      </c>
      <c r="C18">
        <v>1</v>
      </c>
      <c r="D18">
        <f t="shared" si="0"/>
        <v>96</v>
      </c>
      <c r="E18">
        <f t="shared" si="1"/>
        <v>115.19999999999999</v>
      </c>
      <c r="G18" s="18"/>
      <c r="H18" s="13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 x14ac:dyDescent="0.3">
      <c r="A19" s="27" t="s">
        <v>166</v>
      </c>
      <c r="B19">
        <v>206</v>
      </c>
      <c r="C19">
        <v>1</v>
      </c>
      <c r="D19">
        <f t="shared" si="0"/>
        <v>206</v>
      </c>
      <c r="E19">
        <f t="shared" si="1"/>
        <v>247.2</v>
      </c>
      <c r="G19" s="18"/>
      <c r="H19" s="13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spans="1:30" x14ac:dyDescent="0.3">
      <c r="A20" s="27" t="s">
        <v>167</v>
      </c>
      <c r="B20">
        <v>12.5</v>
      </c>
      <c r="C20">
        <v>100</v>
      </c>
      <c r="D20">
        <f t="shared" si="0"/>
        <v>1250</v>
      </c>
      <c r="E20">
        <f t="shared" si="1"/>
        <v>1500</v>
      </c>
      <c r="G20" s="18"/>
      <c r="H20" s="13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 x14ac:dyDescent="0.3">
      <c r="D21">
        <f>ROUNDUP(SUM(D2:D20),0)</f>
        <v>8577</v>
      </c>
      <c r="E21">
        <f>ROUNDUP(D21*1.2,0)</f>
        <v>10293</v>
      </c>
      <c r="G21" s="18">
        <v>35</v>
      </c>
      <c r="H21" s="13" t="s">
        <v>194</v>
      </c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1:30" x14ac:dyDescent="0.3">
      <c r="G22" s="18">
        <v>12</v>
      </c>
      <c r="H22" s="13" t="s">
        <v>195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 ht="15" thickBot="1" x14ac:dyDescent="0.35">
      <c r="A23">
        <f>6.5+6.5+3</f>
        <v>16</v>
      </c>
      <c r="B23">
        <v>15.5</v>
      </c>
      <c r="D23">
        <v>3.2</v>
      </c>
      <c r="E23">
        <f>0.6*50</f>
        <v>30</v>
      </c>
      <c r="F23">
        <f>D23*E23*5</f>
        <v>480</v>
      </c>
      <c r="G23" s="19">
        <f>SUM(G2:G22)</f>
        <v>142</v>
      </c>
      <c r="H23" s="14" t="s">
        <v>197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0" x14ac:dyDescent="0.3">
      <c r="A24"/>
      <c r="B24">
        <f>B23*5</f>
        <v>77.5</v>
      </c>
      <c r="D24">
        <v>1.5</v>
      </c>
      <c r="E24">
        <v>30</v>
      </c>
      <c r="F24">
        <f>D24*E24*4</f>
        <v>180</v>
      </c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0" x14ac:dyDescent="0.3">
      <c r="A25"/>
      <c r="E25" t="s">
        <v>152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 x14ac:dyDescent="0.3">
      <c r="A26"/>
      <c r="B26">
        <f>A23*B24</f>
        <v>1240</v>
      </c>
      <c r="D26">
        <f>B26+F24+F23</f>
        <v>1900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1:30" x14ac:dyDescent="0.3">
      <c r="A27"/>
      <c r="B27" t="s">
        <v>170</v>
      </c>
    </row>
    <row r="28" spans="1:30" x14ac:dyDescent="0.3">
      <c r="A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30" x14ac:dyDescent="0.3">
      <c r="A29"/>
      <c r="B29" t="s">
        <v>116</v>
      </c>
      <c r="C29" t="s">
        <v>111</v>
      </c>
      <c r="D29" t="s">
        <v>186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pans="1:30" x14ac:dyDescent="0.3">
      <c r="A30" s="1" t="s">
        <v>185</v>
      </c>
      <c r="B30">
        <v>66</v>
      </c>
      <c r="C30">
        <v>1.8</v>
      </c>
      <c r="D30">
        <v>8</v>
      </c>
      <c r="E30">
        <f>B30*C30*D30</f>
        <v>950.4</v>
      </c>
    </row>
    <row r="31" spans="1:30" x14ac:dyDescent="0.3">
      <c r="A31" s="1" t="s">
        <v>187</v>
      </c>
      <c r="B31">
        <v>66</v>
      </c>
      <c r="C31">
        <v>1.5</v>
      </c>
      <c r="D31">
        <v>9</v>
      </c>
      <c r="E31">
        <f t="shared" ref="E31:E32" si="3">B31*C31*D31</f>
        <v>891</v>
      </c>
    </row>
    <row r="32" spans="1:30" x14ac:dyDescent="0.3">
      <c r="A32" s="1" t="s">
        <v>188</v>
      </c>
      <c r="B32">
        <f>C30*D30+C31*D31</f>
        <v>27.9</v>
      </c>
      <c r="C32">
        <v>1.5</v>
      </c>
      <c r="D32">
        <v>2</v>
      </c>
      <c r="E32">
        <f t="shared" si="3"/>
        <v>83.699999999999989</v>
      </c>
      <c r="K32">
        <v>8</v>
      </c>
      <c r="L32">
        <v>3</v>
      </c>
    </row>
    <row r="33" spans="1:11" x14ac:dyDescent="0.3">
      <c r="E33">
        <f>SUM(E30:E32)</f>
        <v>1925.1000000000001</v>
      </c>
    </row>
    <row r="34" spans="1:11" x14ac:dyDescent="0.3">
      <c r="C34">
        <f>C30*D30+C31*D31</f>
        <v>27.9</v>
      </c>
      <c r="K34">
        <f>73*38</f>
        <v>2774</v>
      </c>
    </row>
    <row r="36" spans="1:11" x14ac:dyDescent="0.3">
      <c r="A36" s="1" t="s">
        <v>157</v>
      </c>
      <c r="B36">
        <v>12.15</v>
      </c>
      <c r="C36">
        <v>5</v>
      </c>
      <c r="D36">
        <v>3</v>
      </c>
      <c r="E36">
        <f>B36*C36</f>
        <v>60.75</v>
      </c>
    </row>
    <row r="37" spans="1:11" x14ac:dyDescent="0.3">
      <c r="A37" s="1" t="s">
        <v>98</v>
      </c>
      <c r="B37">
        <v>5.2</v>
      </c>
      <c r="C37">
        <v>4</v>
      </c>
      <c r="D37">
        <v>7</v>
      </c>
      <c r="E37">
        <f>B37*C37</f>
        <v>20.8</v>
      </c>
      <c r="H37">
        <f>4.5*4</f>
        <v>18</v>
      </c>
    </row>
    <row r="38" spans="1:11" x14ac:dyDescent="0.3">
      <c r="A38" s="1" t="s">
        <v>190</v>
      </c>
      <c r="B38">
        <v>5.2</v>
      </c>
      <c r="C38">
        <v>4</v>
      </c>
      <c r="D38">
        <v>3</v>
      </c>
    </row>
    <row r="39" spans="1:11" x14ac:dyDescent="0.3">
      <c r="A39" s="1" t="s">
        <v>189</v>
      </c>
      <c r="B39">
        <v>5</v>
      </c>
      <c r="C39">
        <v>4.5</v>
      </c>
      <c r="D39">
        <v>24</v>
      </c>
    </row>
    <row r="40" spans="1:11" x14ac:dyDescent="0.3">
      <c r="A40" s="1" t="s">
        <v>84</v>
      </c>
      <c r="B40">
        <v>4.8</v>
      </c>
      <c r="C40">
        <v>4</v>
      </c>
      <c r="D40">
        <v>3</v>
      </c>
    </row>
    <row r="41" spans="1:11" x14ac:dyDescent="0.3">
      <c r="A41" s="1" t="s">
        <v>191</v>
      </c>
      <c r="B41">
        <v>8</v>
      </c>
      <c r="C41">
        <v>9</v>
      </c>
    </row>
    <row r="42" spans="1:11" x14ac:dyDescent="0.3">
      <c r="A42" s="1" t="s">
        <v>161</v>
      </c>
      <c r="B42">
        <v>5.2</v>
      </c>
      <c r="C42">
        <v>5.8</v>
      </c>
      <c r="D4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BBAA-CB33-4DD7-BF52-49290309644B}">
  <dimension ref="A1:G10"/>
  <sheetViews>
    <sheetView workbookViewId="0">
      <selection activeCell="B5" sqref="B5"/>
    </sheetView>
  </sheetViews>
  <sheetFormatPr defaultRowHeight="14.4" x14ac:dyDescent="0.3"/>
  <cols>
    <col min="1" max="1" width="8.88671875" style="1"/>
  </cols>
  <sheetData>
    <row r="1" spans="1:7" s="1" customFormat="1" x14ac:dyDescent="0.3">
      <c r="B1" s="1" t="s">
        <v>0</v>
      </c>
      <c r="D1" s="1" t="s">
        <v>1</v>
      </c>
      <c r="F1" s="1" t="s">
        <v>8</v>
      </c>
    </row>
    <row r="2" spans="1:7" x14ac:dyDescent="0.3">
      <c r="B2" t="s">
        <v>6</v>
      </c>
      <c r="C2" t="s">
        <v>5</v>
      </c>
      <c r="D2" t="s">
        <v>6</v>
      </c>
      <c r="E2" t="s">
        <v>5</v>
      </c>
      <c r="F2" t="s">
        <v>6</v>
      </c>
      <c r="G2" t="s">
        <v>5</v>
      </c>
    </row>
    <row r="3" spans="1:7" x14ac:dyDescent="0.3">
      <c r="A3" s="1" t="s">
        <v>4</v>
      </c>
      <c r="B3">
        <f>1.52*3+2*1</f>
        <v>6.5600000000000005</v>
      </c>
      <c r="C3">
        <f>B3/6</f>
        <v>1.0933333333333335</v>
      </c>
      <c r="D3">
        <f>2*0.94+3*1</f>
        <v>4.88</v>
      </c>
      <c r="E3">
        <f>D3/6</f>
        <v>0.81333333333333335</v>
      </c>
      <c r="F3">
        <f>6*4</f>
        <v>24</v>
      </c>
      <c r="G3">
        <f>F3/6</f>
        <v>4</v>
      </c>
    </row>
    <row r="4" spans="1:7" x14ac:dyDescent="0.3">
      <c r="A4" s="1" t="s">
        <v>2</v>
      </c>
      <c r="B4">
        <v>25</v>
      </c>
      <c r="C4">
        <f t="shared" ref="C4:C6" si="0">B4/6</f>
        <v>4.166666666666667</v>
      </c>
      <c r="E4">
        <f t="shared" ref="E4:E5" si="1">D4/6</f>
        <v>0</v>
      </c>
    </row>
    <row r="5" spans="1:7" x14ac:dyDescent="0.3">
      <c r="A5" s="1" t="s">
        <v>7</v>
      </c>
      <c r="B5">
        <f>0.7*4</f>
        <v>2.8</v>
      </c>
      <c r="C5">
        <f t="shared" si="0"/>
        <v>0.46666666666666662</v>
      </c>
      <c r="E5">
        <f t="shared" si="1"/>
        <v>0</v>
      </c>
    </row>
    <row r="6" spans="1:7" x14ac:dyDescent="0.3">
      <c r="A6" s="1" t="s">
        <v>3</v>
      </c>
      <c r="C6">
        <f t="shared" si="0"/>
        <v>0</v>
      </c>
      <c r="E6">
        <v>0</v>
      </c>
    </row>
    <row r="7" spans="1:7" x14ac:dyDescent="0.3">
      <c r="B7">
        <f t="shared" ref="B7:G7" si="2">SUM(B3:B6)</f>
        <v>34.36</v>
      </c>
      <c r="C7">
        <f t="shared" si="2"/>
        <v>5.7266666666666675</v>
      </c>
      <c r="D7">
        <f t="shared" si="2"/>
        <v>4.88</v>
      </c>
      <c r="E7">
        <f t="shared" si="2"/>
        <v>0.81333333333333335</v>
      </c>
      <c r="F7">
        <f t="shared" si="2"/>
        <v>24</v>
      </c>
      <c r="G7">
        <f t="shared" si="2"/>
        <v>4</v>
      </c>
    </row>
    <row r="9" spans="1:7" x14ac:dyDescent="0.3">
      <c r="A9" s="1" t="s">
        <v>9</v>
      </c>
      <c r="B9">
        <f>B7+D7+F7</f>
        <v>63.24</v>
      </c>
      <c r="C9">
        <f>B9-24</f>
        <v>39.24</v>
      </c>
    </row>
    <row r="10" spans="1:7" x14ac:dyDescent="0.3">
      <c r="A10" s="1" t="s">
        <v>10</v>
      </c>
      <c r="B10">
        <f>C7+E7+G7</f>
        <v>10.540000000000001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AE09-D5DD-4B2C-BEB2-7B2610577575}">
  <dimension ref="A1:I12"/>
  <sheetViews>
    <sheetView workbookViewId="0">
      <selection sqref="A1:H12"/>
    </sheetView>
  </sheetViews>
  <sheetFormatPr defaultRowHeight="14.4" x14ac:dyDescent="0.3"/>
  <cols>
    <col min="1" max="1" width="38.21875" bestFit="1" customWidth="1"/>
    <col min="2" max="2" width="6.77734375" bestFit="1" customWidth="1"/>
    <col min="3" max="3" width="6.109375" bestFit="1" customWidth="1"/>
    <col min="4" max="4" width="14.109375" bestFit="1" customWidth="1"/>
    <col min="5" max="5" width="6.109375" bestFit="1" customWidth="1"/>
    <col min="6" max="6" width="14.109375" bestFit="1" customWidth="1"/>
    <col min="7" max="7" width="6.109375" bestFit="1" customWidth="1"/>
    <col min="8" max="8" width="14.109375" bestFit="1" customWidth="1"/>
  </cols>
  <sheetData>
    <row r="1" spans="1:9" x14ac:dyDescent="0.3">
      <c r="A1" s="32"/>
      <c r="B1" s="32"/>
      <c r="C1" s="50" t="s">
        <v>200</v>
      </c>
      <c r="D1" s="50"/>
      <c r="E1" s="50" t="s">
        <v>201</v>
      </c>
      <c r="F1" s="50"/>
      <c r="G1" s="50" t="s">
        <v>201</v>
      </c>
      <c r="H1" s="50"/>
    </row>
    <row r="2" spans="1:9" x14ac:dyDescent="0.3">
      <c r="A2" s="33" t="s">
        <v>198</v>
      </c>
      <c r="B2" s="33" t="s">
        <v>199</v>
      </c>
      <c r="C2" s="33" t="s">
        <v>202</v>
      </c>
      <c r="D2" s="33" t="s">
        <v>203</v>
      </c>
      <c r="E2" s="33" t="s">
        <v>202</v>
      </c>
      <c r="F2" s="33" t="s">
        <v>203</v>
      </c>
      <c r="G2" s="33" t="s">
        <v>202</v>
      </c>
      <c r="H2" s="33" t="s">
        <v>203</v>
      </c>
      <c r="I2" s="1"/>
    </row>
    <row r="3" spans="1:9" x14ac:dyDescent="0.3">
      <c r="A3" s="34" t="s">
        <v>211</v>
      </c>
      <c r="B3" s="32">
        <v>0.15</v>
      </c>
      <c r="C3" s="32">
        <v>10</v>
      </c>
      <c r="D3" s="32">
        <f>B3*C3</f>
        <v>1.5</v>
      </c>
      <c r="E3" s="32">
        <v>10</v>
      </c>
      <c r="F3" s="32">
        <f>E3*B3</f>
        <v>1.5</v>
      </c>
      <c r="G3" s="32">
        <v>10</v>
      </c>
      <c r="H3" s="32">
        <f>G3*B3</f>
        <v>1.5</v>
      </c>
    </row>
    <row r="4" spans="1:9" x14ac:dyDescent="0.3">
      <c r="A4" s="34" t="s">
        <v>204</v>
      </c>
      <c r="B4" s="32">
        <v>0.15</v>
      </c>
      <c r="C4" s="32">
        <v>10</v>
      </c>
      <c r="D4" s="32">
        <f t="shared" ref="D4:D11" si="0">B4*C4</f>
        <v>1.5</v>
      </c>
      <c r="E4" s="32">
        <v>10</v>
      </c>
      <c r="F4" s="32">
        <f t="shared" ref="F4:F11" si="1">E4*B4</f>
        <v>1.5</v>
      </c>
      <c r="G4" s="32">
        <v>10</v>
      </c>
      <c r="H4" s="32">
        <f t="shared" ref="H4:H11" si="2">G4*B4</f>
        <v>1.5</v>
      </c>
    </row>
    <row r="5" spans="1:9" x14ac:dyDescent="0.3">
      <c r="A5" s="34" t="s">
        <v>205</v>
      </c>
      <c r="B5" s="32">
        <v>0.15</v>
      </c>
      <c r="C5" s="32">
        <v>9</v>
      </c>
      <c r="D5" s="32">
        <f t="shared" si="0"/>
        <v>1.3499999999999999</v>
      </c>
      <c r="E5" s="32">
        <v>8</v>
      </c>
      <c r="F5" s="32">
        <f t="shared" si="1"/>
        <v>1.2</v>
      </c>
      <c r="G5" s="32">
        <v>6</v>
      </c>
      <c r="H5" s="32">
        <f t="shared" si="2"/>
        <v>0.89999999999999991</v>
      </c>
    </row>
    <row r="6" spans="1:9" x14ac:dyDescent="0.3">
      <c r="A6" s="34" t="s">
        <v>210</v>
      </c>
      <c r="B6" s="32">
        <v>0.1</v>
      </c>
      <c r="C6" s="32">
        <v>9</v>
      </c>
      <c r="D6" s="32">
        <f t="shared" si="0"/>
        <v>0.9</v>
      </c>
      <c r="E6" s="32">
        <v>8</v>
      </c>
      <c r="F6" s="32">
        <f t="shared" si="1"/>
        <v>0.8</v>
      </c>
      <c r="G6" s="32">
        <v>6</v>
      </c>
      <c r="H6" s="32">
        <f t="shared" si="2"/>
        <v>0.60000000000000009</v>
      </c>
    </row>
    <row r="7" spans="1:9" x14ac:dyDescent="0.3">
      <c r="A7" s="34" t="s">
        <v>206</v>
      </c>
      <c r="B7" s="32">
        <v>0.05</v>
      </c>
      <c r="C7" s="32">
        <v>6</v>
      </c>
      <c r="D7" s="32">
        <f t="shared" si="0"/>
        <v>0.30000000000000004</v>
      </c>
      <c r="E7" s="32">
        <v>7</v>
      </c>
      <c r="F7" s="32">
        <f t="shared" si="1"/>
        <v>0.35000000000000003</v>
      </c>
      <c r="G7" s="32">
        <v>8</v>
      </c>
      <c r="H7" s="32">
        <f t="shared" si="2"/>
        <v>0.4</v>
      </c>
    </row>
    <row r="8" spans="1:9" x14ac:dyDescent="0.3">
      <c r="A8" s="34" t="s">
        <v>207</v>
      </c>
      <c r="B8" s="32">
        <v>0.1</v>
      </c>
      <c r="C8" s="32">
        <v>8</v>
      </c>
      <c r="D8" s="32">
        <f t="shared" si="0"/>
        <v>0.8</v>
      </c>
      <c r="E8" s="32">
        <v>10</v>
      </c>
      <c r="F8" s="32">
        <f t="shared" si="1"/>
        <v>1</v>
      </c>
      <c r="G8" s="32">
        <v>8</v>
      </c>
      <c r="H8" s="32">
        <f t="shared" si="2"/>
        <v>0.8</v>
      </c>
    </row>
    <row r="9" spans="1:9" x14ac:dyDescent="0.3">
      <c r="A9" s="34" t="s">
        <v>208</v>
      </c>
      <c r="B9" s="32">
        <v>0.1</v>
      </c>
      <c r="C9" s="32">
        <v>6</v>
      </c>
      <c r="D9" s="32">
        <f t="shared" si="0"/>
        <v>0.60000000000000009</v>
      </c>
      <c r="E9" s="32">
        <v>8</v>
      </c>
      <c r="F9" s="32">
        <f t="shared" si="1"/>
        <v>0.8</v>
      </c>
      <c r="G9" s="32">
        <v>8</v>
      </c>
      <c r="H9" s="32">
        <f t="shared" si="2"/>
        <v>0.8</v>
      </c>
    </row>
    <row r="10" spans="1:9" x14ac:dyDescent="0.3">
      <c r="A10" s="34" t="s">
        <v>209</v>
      </c>
      <c r="B10" s="32">
        <v>0.1</v>
      </c>
      <c r="C10" s="32">
        <v>7</v>
      </c>
      <c r="D10" s="32">
        <f t="shared" si="0"/>
        <v>0.70000000000000007</v>
      </c>
      <c r="E10" s="32">
        <v>8</v>
      </c>
      <c r="F10" s="32">
        <f t="shared" si="1"/>
        <v>0.8</v>
      </c>
      <c r="G10" s="32">
        <v>9</v>
      </c>
      <c r="H10" s="32">
        <f t="shared" si="2"/>
        <v>0.9</v>
      </c>
    </row>
    <row r="11" spans="1:9" x14ac:dyDescent="0.3">
      <c r="A11" s="34" t="s">
        <v>212</v>
      </c>
      <c r="B11" s="32">
        <v>0.1</v>
      </c>
      <c r="C11" s="32">
        <v>9</v>
      </c>
      <c r="D11" s="32">
        <f t="shared" si="0"/>
        <v>0.9</v>
      </c>
      <c r="E11" s="32">
        <v>8</v>
      </c>
      <c r="F11" s="32">
        <f t="shared" si="1"/>
        <v>0.8</v>
      </c>
      <c r="G11" s="32">
        <v>7</v>
      </c>
      <c r="H11" s="32">
        <f t="shared" si="2"/>
        <v>0.70000000000000007</v>
      </c>
    </row>
    <row r="12" spans="1:9" x14ac:dyDescent="0.3">
      <c r="A12" s="34" t="s">
        <v>213</v>
      </c>
      <c r="B12" s="32">
        <f t="shared" ref="B12:H12" si="3">SUM(B3:B11)</f>
        <v>0.99999999999999989</v>
      </c>
      <c r="C12" s="32">
        <f t="shared" si="3"/>
        <v>74</v>
      </c>
      <c r="D12" s="32">
        <f t="shared" si="3"/>
        <v>8.5499999999999989</v>
      </c>
      <c r="E12" s="32">
        <f t="shared" si="3"/>
        <v>77</v>
      </c>
      <c r="F12" s="32">
        <f t="shared" si="3"/>
        <v>8.75</v>
      </c>
      <c r="G12" s="32">
        <f t="shared" si="3"/>
        <v>72</v>
      </c>
      <c r="H12" s="32">
        <f t="shared" si="3"/>
        <v>8.1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</vt:lpstr>
      <vt:lpstr>Demand</vt:lpstr>
      <vt:lpstr>Machines</vt:lpstr>
      <vt:lpstr>Storage</vt:lpstr>
      <vt:lpstr>Areas</vt:lpstr>
      <vt:lpstr>Metres-Bars per unit</vt:lpstr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van Dyk</dc:creator>
  <cp:lastModifiedBy>Karla van Dyk</cp:lastModifiedBy>
  <dcterms:created xsi:type="dcterms:W3CDTF">2025-06-06T17:25:17Z</dcterms:created>
  <dcterms:modified xsi:type="dcterms:W3CDTF">2025-06-13T07:14:50Z</dcterms:modified>
</cp:coreProperties>
</file>