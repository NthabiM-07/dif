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es J" sheetId="1" r:id="rId4"/>
    <sheet state="visible" name="Volumes K" sheetId="2" r:id="rId5"/>
    <sheet state="visible" name="Wire Drawing" sheetId="3" r:id="rId6"/>
    <sheet state="visible" name="Galvanization" sheetId="4" r:id="rId7"/>
    <sheet state="visible" name="Hexagonal " sheetId="5" r:id="rId8"/>
    <sheet state="visible" name="Welded Mesh" sheetId="6" r:id="rId9"/>
    <sheet state="visible" name="Packaging" sheetId="7" r:id="rId10"/>
    <sheet state="visible" name="Zinc Calculations" sheetId="8" r:id="rId11"/>
    <sheet state="visible" name="WIP Calculations" sheetId="9" r:id="rId12"/>
    <sheet state="visible" name="Material handling" sheetId="10" r:id="rId13"/>
    <sheet state="visible" name="Power Lights and Water" sheetId="11" r:id="rId14"/>
    <sheet state="visible" name="Locker rooms, Cafeteria, restro" sheetId="12" r:id="rId15"/>
    <sheet state="visible" name="scrap storage" sheetId="13" r:id="rId16"/>
    <sheet state="visible" name="Personell" sheetId="14" r:id="rId17"/>
  </sheets>
  <definedNames/>
  <calcPr/>
</workbook>
</file>

<file path=xl/sharedStrings.xml><?xml version="1.0" encoding="utf-8"?>
<sst xmlns="http://schemas.openxmlformats.org/spreadsheetml/2006/main" count="704" uniqueCount="416">
  <si>
    <t>Product</t>
  </si>
  <si>
    <t>Demand/a (t)</t>
  </si>
  <si>
    <t>Demand/day (kg)</t>
  </si>
  <si>
    <t>Scrap/day</t>
  </si>
  <si>
    <t>kg required/day</t>
  </si>
  <si>
    <t>Units/day</t>
  </si>
  <si>
    <t>units/day scrap inc</t>
  </si>
  <si>
    <t>Machine Requirements:</t>
  </si>
  <si>
    <t>Bird</t>
  </si>
  <si>
    <t>Chicken</t>
  </si>
  <si>
    <t xml:space="preserve">Use Robot Arm: https://www.hengtaiwx.com/en/cable-making-machines/cable-coiling-packing-machine/robot-bagging-system-for-cable-coil.html </t>
  </si>
  <si>
    <t>Can Order to spec</t>
  </si>
  <si>
    <t>Jackal</t>
  </si>
  <si>
    <t>Packaging Machine:</t>
  </si>
  <si>
    <t>Per Day</t>
  </si>
  <si>
    <t>Per Hour</t>
  </si>
  <si>
    <t>Pig</t>
  </si>
  <si>
    <t>Welded</t>
  </si>
  <si>
    <t>Total</t>
  </si>
  <si>
    <t>Coils Needed</t>
  </si>
  <si>
    <t>Safety Stock per day</t>
  </si>
  <si>
    <t>Total Stock on hand per day</t>
  </si>
  <si>
    <t>Hex Net Machines:</t>
  </si>
  <si>
    <t>Demand /day</t>
  </si>
  <si>
    <t>Demand/h</t>
  </si>
  <si>
    <t>Machine capacity /h (m)</t>
  </si>
  <si>
    <t># of Machines needed</t>
  </si>
  <si>
    <t>Space/machine</t>
  </si>
  <si>
    <r>
      <rPr>
        <color rgb="FF1155CC"/>
        <u/>
      </rPr>
      <t>https://www.china-rkm.com/hexagonal-wire-mesh-machine/</t>
    </r>
    <r>
      <rPr>
        <color rgb="FF000000"/>
      </rPr>
      <t xml:space="preserve"> Hierdie masjien kan gedesign word volgens ons spesifikasies. Have a look at the link if you are unsure or ask me.</t>
    </r>
  </si>
  <si>
    <t>Assumptions</t>
  </si>
  <si>
    <t>Days/year</t>
  </si>
  <si>
    <t>hours/day</t>
  </si>
  <si>
    <t>Scrap rate</t>
  </si>
  <si>
    <t>Weight per Product (kg)</t>
  </si>
  <si>
    <t>PRODUCT SPESIFICATIONS</t>
  </si>
  <si>
    <t>Height of roll (m)</t>
  </si>
  <si>
    <t>Aperture (mm)</t>
  </si>
  <si>
    <t>Wire Diameter (mm)</t>
  </si>
  <si>
    <t>Roll Length (m)</t>
  </si>
  <si>
    <t>Weight per roll (kg)</t>
  </si>
  <si>
    <t>Galvanized finished (Light or Heavy)</t>
  </si>
  <si>
    <t>Bird Netting</t>
  </si>
  <si>
    <t>0,9</t>
  </si>
  <si>
    <t>0,6</t>
  </si>
  <si>
    <t>22,5</t>
  </si>
  <si>
    <t>Light</t>
  </si>
  <si>
    <t>Chicken Netting</t>
  </si>
  <si>
    <t>1,8</t>
  </si>
  <si>
    <t>41,9</t>
  </si>
  <si>
    <t>Jackal Netting</t>
  </si>
  <si>
    <t>19,5</t>
  </si>
  <si>
    <t>Pig Netting</t>
  </si>
  <si>
    <t>14,7</t>
  </si>
  <si>
    <t>Welded Mesh</t>
  </si>
  <si>
    <t>2,5</t>
  </si>
  <si>
    <t>Heavy</t>
  </si>
  <si>
    <t>RAW MATERIAL</t>
  </si>
  <si>
    <t>Annual Demand (tons)</t>
  </si>
  <si>
    <t>Daily Demand (tons)</t>
  </si>
  <si>
    <t>Daily Scrap (tons)</t>
  </si>
  <si>
    <t>Total Daily Deamnd (tons)</t>
  </si>
  <si>
    <t>Number of coils needed for production per day</t>
  </si>
  <si>
    <t>18,18</t>
  </si>
  <si>
    <t>0,73</t>
  </si>
  <si>
    <t>18,91</t>
  </si>
  <si>
    <t>7,56</t>
  </si>
  <si>
    <t>25,00</t>
  </si>
  <si>
    <t>1,00</t>
  </si>
  <si>
    <t>26,00</t>
  </si>
  <si>
    <t>10,40</t>
  </si>
  <si>
    <t>11,36</t>
  </si>
  <si>
    <t>0,45</t>
  </si>
  <si>
    <t>11,82</t>
  </si>
  <si>
    <t>4,73</t>
  </si>
  <si>
    <t>36,36</t>
  </si>
  <si>
    <t>1,45</t>
  </si>
  <si>
    <t>37,82</t>
  </si>
  <si>
    <t>15,13</t>
  </si>
  <si>
    <t>27,27</t>
  </si>
  <si>
    <t>1,09</t>
  </si>
  <si>
    <t>28,36</t>
  </si>
  <si>
    <t>11,35</t>
  </si>
  <si>
    <t>TOTAL</t>
  </si>
  <si>
    <t>118,18</t>
  </si>
  <si>
    <t>122,91</t>
  </si>
  <si>
    <t>50,00</t>
  </si>
  <si>
    <t>round up*</t>
  </si>
  <si>
    <t>Safety Stock</t>
  </si>
  <si>
    <t>100,00</t>
  </si>
  <si>
    <t>Total Steel Coils on Hand Per Day (rounded up)</t>
  </si>
  <si>
    <t>FINISHED PRODUCTS</t>
  </si>
  <si>
    <t>Daily Deamnd (kg)</t>
  </si>
  <si>
    <t>Daily Number of Units (rounded up)</t>
  </si>
  <si>
    <t>18181,82</t>
  </si>
  <si>
    <t>25000,00</t>
  </si>
  <si>
    <t>11363,64</t>
  </si>
  <si>
    <t>36363,64</t>
  </si>
  <si>
    <t>27272,73</t>
  </si>
  <si>
    <t>118181,82</t>
  </si>
  <si>
    <t>Wire Drawing</t>
  </si>
  <si>
    <t>Machine Type</t>
  </si>
  <si>
    <t>LZ Straight-Line Metal Drawing Machine</t>
  </si>
  <si>
    <t>Max. Inlet Diameter</t>
  </si>
  <si>
    <t>8 mm</t>
  </si>
  <si>
    <t>Outlet Diameter</t>
  </si>
  <si>
    <t>0.5 - 4.5 mm</t>
  </si>
  <si>
    <t>Machine Capacity</t>
  </si>
  <si>
    <t>2 tons/hour</t>
  </si>
  <si>
    <t>Machine Speed</t>
  </si>
  <si>
    <t>12 m/second</t>
  </si>
  <si>
    <t>Daily Tons Required</t>
  </si>
  <si>
    <t>Time Available</t>
  </si>
  <si>
    <t>8 hours</t>
  </si>
  <si>
    <t>Tons Required per Hour</t>
  </si>
  <si>
    <t>Number of Machined Required (rounded up)</t>
  </si>
  <si>
    <t>TOTAL OUTPUT</t>
  </si>
  <si>
    <t>Machine Specs</t>
  </si>
  <si>
    <t>Machine</t>
  </si>
  <si>
    <t>0,5-4,5 mm</t>
  </si>
  <si>
    <t>Capacity</t>
  </si>
  <si>
    <t>Speed</t>
  </si>
  <si>
    <t>12m/second</t>
  </si>
  <si>
    <t>Length</t>
  </si>
  <si>
    <t>8600 mm</t>
  </si>
  <si>
    <t>Width</t>
  </si>
  <si>
    <t>1390 mm</t>
  </si>
  <si>
    <t>Height</t>
  </si>
  <si>
    <t>1925 mm</t>
  </si>
  <si>
    <t>Capacity Planning</t>
  </si>
  <si>
    <t>Daily Required Input (tons)</t>
  </si>
  <si>
    <t>Scrap (tons)</t>
  </si>
  <si>
    <t>Daily Required Output (tons) [100%]</t>
  </si>
  <si>
    <t>Bird Netting[15%]</t>
  </si>
  <si>
    <t>Chicken Netting [21%]</t>
  </si>
  <si>
    <t>Jackal Netting [10%]</t>
  </si>
  <si>
    <t>Pig Netting [31%]</t>
  </si>
  <si>
    <t>Welded Mesh [23%]</t>
  </si>
  <si>
    <t>Hours Available</t>
  </si>
  <si>
    <t>14,77</t>
  </si>
  <si>
    <t>Machines Required (rounded up)</t>
  </si>
  <si>
    <t>Daily Output with 8 machines (tons) [100%]</t>
  </si>
  <si>
    <t>19,2</t>
  </si>
  <si>
    <t>26,88</t>
  </si>
  <si>
    <t>12,8</t>
  </si>
  <si>
    <t>39,68</t>
  </si>
  <si>
    <t>29,44</t>
  </si>
  <si>
    <t>Labour</t>
  </si>
  <si>
    <t>Number of Operators per Machine</t>
  </si>
  <si>
    <t>Total Operators</t>
  </si>
  <si>
    <t>https://www.cnsuntech.com/sale-13737523-low-carbon-steel-wire-electro-galvanizing-machine-2-5-tons-day.html?utm_source</t>
  </si>
  <si>
    <r>
      <rPr/>
      <t xml:space="preserve">Use: </t>
    </r>
    <r>
      <rPr>
        <color rgb="FF1155CC"/>
        <u/>
      </rPr>
      <t>https://www.hotiongroup.com/sink-roll-p-56.html?utm_source</t>
    </r>
  </si>
  <si>
    <t>Galvanization</t>
  </si>
  <si>
    <t>Equipment</t>
  </si>
  <si>
    <t>Hotion Sink Roll and Galvanizing Bath</t>
  </si>
  <si>
    <t>Wire Diameter</t>
  </si>
  <si>
    <t>0.5 - 4 mm</t>
  </si>
  <si>
    <t>16 tons / hour</t>
  </si>
  <si>
    <t>128 tons / 8 hours</t>
  </si>
  <si>
    <t>Roller Speed</t>
  </si>
  <si>
    <t>12m/s</t>
  </si>
  <si>
    <t>36 m</t>
  </si>
  <si>
    <t>2 m</t>
  </si>
  <si>
    <t>1.3 m</t>
  </si>
  <si>
    <t>Lines per Machine</t>
  </si>
  <si>
    <t>Tons Requires per Hour</t>
  </si>
  <si>
    <t xml:space="preserve">Lines Required </t>
  </si>
  <si>
    <t xml:space="preserve">Number of Operators </t>
  </si>
  <si>
    <t>Hexagonal Wire Mesh Machine</t>
  </si>
  <si>
    <t>Machine Model: DP-CSR</t>
  </si>
  <si>
    <t>4700 mm</t>
  </si>
  <si>
    <t>1700 mm</t>
  </si>
  <si>
    <t>1500 mm</t>
  </si>
  <si>
    <t>Mesh opening (Appeture) (mm)</t>
  </si>
  <si>
    <t>Mesh width (m)</t>
  </si>
  <si>
    <t>Weaving Speed (m/h)</t>
  </si>
  <si>
    <t>Mesh per day per machine (m)</t>
  </si>
  <si>
    <t>Specs</t>
  </si>
  <si>
    <t>0.4-2.2</t>
  </si>
  <si>
    <t>Customizable (Note: One set machine can only make one mesh opening size.)</t>
  </si>
  <si>
    <t>Customizable (Note: can weave 2-4 rolls of mesh at the same time.)</t>
  </si>
  <si>
    <t>Assume the minimum meters per hour</t>
  </si>
  <si>
    <t>Assume 8 hour shift and 4 rolls per machine at the same time</t>
  </si>
  <si>
    <t>60-65</t>
  </si>
  <si>
    <t>95-100</t>
  </si>
  <si>
    <t>Roll Legth Required (m)</t>
  </si>
  <si>
    <t>Daily Number of Rolls Required (rolls)</t>
  </si>
  <si>
    <t>Daily Total (m) Required</t>
  </si>
  <si>
    <t>Machines required (x) (rounded up)</t>
  </si>
  <si>
    <t>Possible Ouput with (x) machines (rolls) (rounded down)</t>
  </si>
  <si>
    <t>Machines Required</t>
  </si>
  <si>
    <t>TOTAL AMOUNT OF OPERATORS</t>
  </si>
  <si>
    <t>https://www.alibaba.com/product-detail/Fully-Automatic-Welded-Wire-Mesh-Making_1600927041936.html?spm=a2700.galleryofferlist.topad_classic.d_title.a1b213a0rXTRo5</t>
  </si>
  <si>
    <t>WIRE MESH WELDING MACHINE</t>
  </si>
  <si>
    <t xml:space="preserve">Machine Model: </t>
  </si>
  <si>
    <t>12000 mm</t>
  </si>
  <si>
    <t>2500 mm</t>
  </si>
  <si>
    <t>1850 mm</t>
  </si>
  <si>
    <t>Welding Speed (m/h)</t>
  </si>
  <si>
    <t>2.5 - 5</t>
  </si>
  <si>
    <t>50 - 300</t>
  </si>
  <si>
    <t>Assume 8 hour shifts</t>
  </si>
  <si>
    <t>Robotic Packing System</t>
  </si>
  <si>
    <t>2000 mm</t>
  </si>
  <si>
    <t>Roll Diameter (Assumption) (cm)</t>
  </si>
  <si>
    <t>Rolls in one pallete</t>
  </si>
  <si>
    <t>Packing Speed (Pallets per Hour)</t>
  </si>
  <si>
    <t>Pallet per day per machine</t>
  </si>
  <si>
    <t>Machine can be made according to customer specifications</t>
  </si>
  <si>
    <t>Refer to figure 12</t>
  </si>
  <si>
    <t>60 rolls per hour</t>
  </si>
  <si>
    <t>8 hour shifts</t>
  </si>
  <si>
    <t>3,75</t>
  </si>
  <si>
    <t>Daily Number of Rolls Required</t>
  </si>
  <si>
    <t>Total Pallets Rquired (rounded up)</t>
  </si>
  <si>
    <t>Machines required (rounded up) (Total Pallets Required / Pallets per day per machine)</t>
  </si>
  <si>
    <t>Possible Ouput with machines (pallets)</t>
  </si>
  <si>
    <t>0,5</t>
  </si>
  <si>
    <t>Assumptions and Knowns</t>
  </si>
  <si>
    <t>Raw material Roll Length</t>
  </si>
  <si>
    <t>m</t>
  </si>
  <si>
    <t>Raw Material Diameter</t>
  </si>
  <si>
    <t>Zinc Needed (Light)</t>
  </si>
  <si>
    <t>kg/m^2</t>
  </si>
  <si>
    <t>Zinc Needed (Heavy)</t>
  </si>
  <si>
    <t>Raw Material Rolls</t>
  </si>
  <si>
    <t>Rolls</t>
  </si>
  <si>
    <t>Zinc Ingot Calculations</t>
  </si>
  <si>
    <t>Percentage of Roll</t>
  </si>
  <si>
    <t>Wire Diameter (m)</t>
  </si>
  <si>
    <t>Elongation Factor (EF)</t>
  </si>
  <si>
    <t>End Length (m)</t>
  </si>
  <si>
    <t>Total Surface Area (m^2)</t>
  </si>
  <si>
    <t>Total Zinc Required (kg)</t>
  </si>
  <si>
    <t>Explanation</t>
  </si>
  <si>
    <t>Ratio of Product per Roll</t>
  </si>
  <si>
    <t>Given</t>
  </si>
  <si>
    <t>Diameter1^2 /   Diameter2^2</t>
  </si>
  <si>
    <t>EF x Length x Percentage</t>
  </si>
  <si>
    <t xml:space="preserve">2 x pi x r^2 x l +                   2 x pi x r^2 </t>
  </si>
  <si>
    <t>Total Surface Area x Zinc Needed</t>
  </si>
  <si>
    <t>WeldedMesh</t>
  </si>
  <si>
    <t>Zinc Required per Roll (kg)</t>
  </si>
  <si>
    <t>Zinc Required per Day for 50 Rolls (kg)</t>
  </si>
  <si>
    <t>Conveyor Loading Calculations</t>
  </si>
  <si>
    <t>Daily Output per Machine (Rolls)</t>
  </si>
  <si>
    <t>Hourly Output per Machine (Rolls/h)</t>
  </si>
  <si>
    <t>One Roll Production Time (min)</t>
  </si>
  <si>
    <t>Workers Required (1 worker can place a roll every 3 min)</t>
  </si>
  <si>
    <t>Overhead Cranes?</t>
  </si>
  <si>
    <t>Total Number of Workers Required</t>
  </si>
  <si>
    <t>Operators between Hex and Packaging Departments</t>
  </si>
  <si>
    <t>Number of Operators</t>
  </si>
  <si>
    <t>Loading the Conveyors</t>
  </si>
  <si>
    <t>Intersection Operators</t>
  </si>
  <si>
    <t>Oversight</t>
  </si>
  <si>
    <t>Operators between Mesh and Packaging Departments</t>
  </si>
  <si>
    <t>Operators Packaging and Storage Departments</t>
  </si>
  <si>
    <t>Forklift Drivers</t>
  </si>
  <si>
    <t>Forklift Coordinator</t>
  </si>
  <si>
    <t>Stock Manager</t>
  </si>
  <si>
    <t>Pallet Packing Calculations</t>
  </si>
  <si>
    <t>Roll Diameter (m) Assumptions</t>
  </si>
  <si>
    <t>Roll Height (m)</t>
  </si>
  <si>
    <t xml:space="preserve">Pallet size              (m x m)  </t>
  </si>
  <si>
    <t>Rolls per Pallet (rounded down)</t>
  </si>
  <si>
    <t>Finished Goods Storage</t>
  </si>
  <si>
    <t xml:space="preserve">Material Handling </t>
  </si>
  <si>
    <t>Assumptions &amp; given data</t>
  </si>
  <si>
    <t>Roll diameter (m)</t>
  </si>
  <si>
    <t>Radius</t>
  </si>
  <si>
    <t>Radius^2</t>
  </si>
  <si>
    <t>Roll weight (kg)</t>
  </si>
  <si>
    <t>Pi</t>
  </si>
  <si>
    <t>number of rolls</t>
  </si>
  <si>
    <t>Raw materials warehouse</t>
  </si>
  <si>
    <t>Area of 1 coil</t>
  </si>
  <si>
    <t>Foot Area m^2</t>
  </si>
  <si>
    <t xml:space="preserve"> 3 layers/ levels</t>
  </si>
  <si>
    <t>Forklifts</t>
  </si>
  <si>
    <t>Hex Department</t>
  </si>
  <si>
    <t>Rack size      (m x m)</t>
  </si>
  <si>
    <t>Number of rolls a rack can hold</t>
  </si>
  <si>
    <t>Number of Stackings</t>
  </si>
  <si>
    <t>Maximum height (m)</t>
  </si>
  <si>
    <t>Number of rolls</t>
  </si>
  <si>
    <t>Racks needed</t>
  </si>
  <si>
    <t>Area (m^2)</t>
  </si>
  <si>
    <t>Number of workers</t>
  </si>
  <si>
    <t>Welding Department</t>
  </si>
  <si>
    <t>total</t>
  </si>
  <si>
    <t>Power Calculations</t>
  </si>
  <si>
    <t>Department</t>
  </si>
  <si>
    <t>Equipment/Process</t>
  </si>
  <si>
    <t>Power Rating (kW)</t>
  </si>
  <si>
    <t>Quantity</t>
  </si>
  <si>
    <t>Total Power (kW)</t>
  </si>
  <si>
    <t>Operating Hours per Day</t>
  </si>
  <si>
    <t>Daily Energy Consumption (kWh)</t>
  </si>
  <si>
    <t>Raw Material Storage</t>
  </si>
  <si>
    <t>Lighting</t>
  </si>
  <si>
    <t>Ventilation</t>
  </si>
  <si>
    <t>Overhead Crane</t>
  </si>
  <si>
    <t>Wire Drawing &amp; Galvanizing</t>
  </si>
  <si>
    <t>https://za.rs-online.com/web/p/centrifugal-fans/8029440</t>
  </si>
  <si>
    <t>Wire Drawing Machines</t>
  </si>
  <si>
    <t>Galvanizing Bath Heaters</t>
  </si>
  <si>
    <t>Exhaust &amp; Fume Extraction</t>
  </si>
  <si>
    <t>Hex Machine Department</t>
  </si>
  <si>
    <t>Hexagonal Weaving Machines</t>
  </si>
  <si>
    <t>Conveyors</t>
  </si>
  <si>
    <t>Welded Mesh Department</t>
  </si>
  <si>
    <t>Welding Machines</t>
  </si>
  <si>
    <t>Packaging</t>
  </si>
  <si>
    <t>Strapping Machines</t>
  </si>
  <si>
    <t>Robot Arms</t>
  </si>
  <si>
    <t>Offices</t>
  </si>
  <si>
    <t>Outside Utilities</t>
  </si>
  <si>
    <t>Floodlights</t>
  </si>
  <si>
    <t>Total Power Consumption</t>
  </si>
  <si>
    <t>Lighting Calculations</t>
  </si>
  <si>
    <t>Amount Needed</t>
  </si>
  <si>
    <t>Type</t>
  </si>
  <si>
    <t>Industrial LED</t>
  </si>
  <si>
    <t>Office LED</t>
  </si>
  <si>
    <t>Outside</t>
  </si>
  <si>
    <t>LED Floodlight</t>
  </si>
  <si>
    <t>Finished Goods Area</t>
  </si>
  <si>
    <t>Number of Pallets (2 days)</t>
  </si>
  <si>
    <t>Pallet Size (m^2)</t>
  </si>
  <si>
    <t>Area Needed (m^2)</t>
  </si>
  <si>
    <t>Total Area Needed</t>
  </si>
  <si>
    <t>Locker rooms with Rest rooms</t>
  </si>
  <si>
    <t>Employees</t>
  </si>
  <si>
    <t>Area of Locker rooms(m^2)</t>
  </si>
  <si>
    <t>Total floor space</t>
  </si>
  <si>
    <t>Double tier locker</t>
  </si>
  <si>
    <t>Component</t>
  </si>
  <si>
    <t>notes &amp; details</t>
  </si>
  <si>
    <t>Double locker</t>
  </si>
  <si>
    <t xml:space="preserve"> units</t>
  </si>
  <si>
    <t>Ailes</t>
  </si>
  <si>
    <t xml:space="preserve"> meter between rows</t>
  </si>
  <si>
    <t>Changing area</t>
  </si>
  <si>
    <t>open space for changing</t>
  </si>
  <si>
    <t xml:space="preserve">Benches </t>
  </si>
  <si>
    <t>Include in locker rows</t>
  </si>
  <si>
    <t>Toilet</t>
  </si>
  <si>
    <t>5 male 7 female</t>
  </si>
  <si>
    <t xml:space="preserve">Urinals </t>
  </si>
  <si>
    <t>male</t>
  </si>
  <si>
    <t>Sinks</t>
  </si>
  <si>
    <t>Cafeteria</t>
  </si>
  <si>
    <t>Area</t>
  </si>
  <si>
    <t>Size (m²)</t>
  </si>
  <si>
    <t>Details</t>
  </si>
  <si>
    <t>Dining Area</t>
  </si>
  <si>
    <t>50 seats @ 2.5m²/seat</t>
  </si>
  <si>
    <t>Food Service Counter</t>
  </si>
  <si>
    <t>8m long serving line</t>
  </si>
  <si>
    <t>Kitchenette</t>
  </si>
  <si>
    <t>Basic food prep/storage</t>
  </si>
  <si>
    <t>Vending Area</t>
  </si>
  <si>
    <t>4 vending machines</t>
  </si>
  <si>
    <t>Storage/Circulation</t>
  </si>
  <si>
    <t>Supplies and movement space</t>
  </si>
  <si>
    <t>Reception area &amp; Restroom for offices</t>
  </si>
  <si>
    <t>Waiting Area</t>
  </si>
  <si>
    <t>8 seats + coffee table</t>
  </si>
  <si>
    <t>Reception Desk</t>
  </si>
  <si>
    <t>L-shaped counter with storage</t>
  </si>
  <si>
    <t>Visitor Lockers</t>
  </si>
  <si>
    <t>Secure storage for personal items</t>
  </si>
  <si>
    <t>Admin Workstation</t>
  </si>
  <si>
    <t>For reception staff</t>
  </si>
  <si>
    <t>Circulation</t>
  </si>
  <si>
    <t>Clear pathways</t>
  </si>
  <si>
    <t>Total scrap (kg)</t>
  </si>
  <si>
    <t>3days</t>
  </si>
  <si>
    <t>Area calculated based on Assumption</t>
  </si>
  <si>
    <t>Specification</t>
  </si>
  <si>
    <t>Storage Method</t>
  </si>
  <si>
    <t>Outdoor paved yard with containment</t>
  </si>
  <si>
    <t>Height Limit</t>
  </si>
  <si>
    <t>2m (safe stacking height)</t>
  </si>
  <si>
    <t xml:space="preserve">71 m² </t>
  </si>
  <si>
    <t>Security</t>
  </si>
  <si>
    <t>Fenced + covered area</t>
  </si>
  <si>
    <t>Access</t>
  </si>
  <si>
    <t>Forklift accessible</t>
  </si>
  <si>
    <t>Management Personnel</t>
  </si>
  <si>
    <t>Personel</t>
  </si>
  <si>
    <t>Number of people</t>
  </si>
  <si>
    <t>Plant Management &amp; Operations</t>
  </si>
  <si>
    <t>Plant manager</t>
  </si>
  <si>
    <t>Operations supervisors</t>
  </si>
  <si>
    <t>Sales &amp; Customer Relations</t>
  </si>
  <si>
    <t>sales &amp; marketing manager</t>
  </si>
  <si>
    <t>sales representatives</t>
  </si>
  <si>
    <t>Purchasing &amp; Inventory Management</t>
  </si>
  <si>
    <t>Manager</t>
  </si>
  <si>
    <t>Finance &amp; Administration</t>
  </si>
  <si>
    <t>Finance manager</t>
  </si>
  <si>
    <t>Accountats</t>
  </si>
  <si>
    <t>Administrative Staff</t>
  </si>
  <si>
    <t>Maintenance</t>
  </si>
  <si>
    <t>Supervisor</t>
  </si>
  <si>
    <t>Logistics &amp; Dispatch</t>
  </si>
  <si>
    <t>Logistics manager</t>
  </si>
  <si>
    <t>Warehouse/ dispatch Supervisor</t>
  </si>
  <si>
    <t>Daily operations personnel</t>
  </si>
  <si>
    <t>operators</t>
  </si>
  <si>
    <t>Materal handling</t>
  </si>
  <si>
    <t>Wire drawing</t>
  </si>
  <si>
    <t>Hex department</t>
  </si>
  <si>
    <t>Weld department</t>
  </si>
  <si>
    <t>Packaging and packing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</si>
</sst>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6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  <font>
      <u/>
      <color rgb="FF0000FF"/>
    </font>
    <font>
      <b/>
      <sz val="11.0"/>
      <color rgb="FFFFFFFF"/>
      <name val="&quot;Aptos Narrow&quot;"/>
    </font>
    <font>
      <b/>
      <sz val="11.0"/>
      <color rgb="FF000000"/>
      <name val="&quot;Aptos Narrow&quot;"/>
    </font>
    <font>
      <color rgb="FF000000"/>
      <name val="&quot;Aptos Narrow&quot;"/>
    </font>
    <font>
      <b/>
      <sz val="11.0"/>
      <color theme="1"/>
      <name val="&quot;Aptos Narrow&quot;"/>
    </font>
    <font/>
    <font>
      <b/>
      <sz val="11.0"/>
      <color theme="1"/>
      <name val="Arial"/>
    </font>
    <font>
      <b/>
      <sz val="16.0"/>
      <color rgb="FF000000"/>
      <name val="&quot;Aptos Narrow&quot;"/>
    </font>
    <font>
      <sz val="11.0"/>
      <color theme="1"/>
      <name val="&quot;Aptos Narrow&quot;"/>
    </font>
    <font>
      <sz val="8.0"/>
      <color rgb="FF000000"/>
      <name val="&quot;Aptos Narrow&quot;"/>
    </font>
    <font>
      <b/>
      <sz val="11.0"/>
      <color rgb="FF000000"/>
      <name val="Arial"/>
    </font>
    <font>
      <b/>
      <sz val="11.0"/>
      <color rgb="FFFFFFFF"/>
      <name val="Arial"/>
    </font>
    <font>
      <b/>
      <color rgb="FF000000"/>
      <name val="&quot;Aptos Narrow&quot;"/>
    </font>
    <font>
      <u/>
      <sz val="10.0"/>
      <color rgb="FF000000"/>
      <name val="&quot;Aptos Narrow&quot;"/>
    </font>
    <font>
      <b/>
      <sz val="16.0"/>
      <color rgb="FF000000"/>
      <name val="Arial"/>
    </font>
    <font>
      <sz val="11.0"/>
      <color rgb="FF222222"/>
      <name val="Arial"/>
    </font>
    <font>
      <sz val="12.0"/>
      <color rgb="FF000000"/>
      <name val="&quot;Aptos Narrow&quot;"/>
    </font>
    <font>
      <u/>
      <color rgb="FF0000FF"/>
    </font>
    <font>
      <sz val="8.0"/>
      <color rgb="FF000000"/>
      <name val="Arial"/>
    </font>
    <font>
      <sz val="12.0"/>
      <color rgb="FF000000"/>
      <name val="Arial"/>
    </font>
    <font>
      <color rgb="FF000000"/>
      <name val="Arial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sz val="10.0"/>
      <color rgb="FF000000"/>
      <name val="&quot;Aptos Narrow&quot;"/>
    </font>
    <font>
      <sz val="10.0"/>
      <color rgb="FF000000"/>
      <name val="Arial"/>
    </font>
    <font>
      <sz val="10.0"/>
      <color theme="1"/>
      <name val="Arial"/>
      <scheme val="minor"/>
    </font>
    <font>
      <b/>
      <sz val="10.0"/>
      <color theme="1"/>
      <name val="Arial"/>
    </font>
    <font>
      <b/>
      <color theme="1"/>
      <name val="Arial"/>
      <scheme val="minor"/>
    </font>
    <font>
      <b/>
      <sz val="11.0"/>
      <color theme="1"/>
      <name val="Aptos"/>
    </font>
    <font>
      <sz val="11.0"/>
      <color theme="1"/>
      <name val="Aptos"/>
    </font>
    <font>
      <sz val="11.0"/>
      <color theme="1"/>
      <name val="Arial"/>
    </font>
    <font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674EA7"/>
        <bgColor rgb="FF674EA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51154A"/>
        <bgColor rgb="FF51154A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24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1" fillId="0" fontId="3" numFmtId="0" xfId="0" applyAlignment="1" applyBorder="1" applyFont="1">
      <alignment readingOrder="0"/>
    </xf>
    <xf borderId="2" fillId="0" fontId="3" numFmtId="0" xfId="0" applyBorder="1" applyFont="1"/>
    <xf borderId="3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4" fillId="0" fontId="1" numFmtId="0" xfId="0" applyAlignment="1" applyBorder="1" applyFont="1">
      <alignment readingOrder="0" shrinkToFit="0" vertical="bottom" wrapText="0"/>
    </xf>
    <xf borderId="0" fillId="0" fontId="3" numFmtId="0" xfId="0" applyFont="1"/>
    <xf borderId="5" fillId="0" fontId="3" numFmtId="0" xfId="0" applyBorder="1" applyFont="1"/>
    <xf borderId="0" fillId="0" fontId="2" numFmtId="0" xfId="0" applyAlignment="1" applyFont="1">
      <alignment horizontal="right" readingOrder="0" shrinkToFit="0" vertical="bottom" wrapText="0"/>
    </xf>
    <xf borderId="6" fillId="0" fontId="3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0" fillId="0" fontId="4" numFmtId="0" xfId="0" applyAlignment="1" applyFont="1">
      <alignment readingOrder="0"/>
    </xf>
    <xf borderId="0" fillId="0" fontId="1" numFmtId="9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wrapText="0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 shrinkToFit="0" wrapText="0"/>
    </xf>
    <xf borderId="0" fillId="0" fontId="6" numFmtId="0" xfId="0" applyAlignment="1" applyFont="1">
      <alignment shrinkToFit="0" wrapText="0"/>
    </xf>
    <xf borderId="9" fillId="0" fontId="8" numFmtId="0" xfId="0" applyAlignment="1" applyBorder="1" applyFont="1">
      <alignment horizontal="center" readingOrder="0" shrinkToFit="0" vertical="bottom" wrapText="0"/>
    </xf>
    <xf borderId="10" fillId="0" fontId="9" numFmtId="0" xfId="0" applyBorder="1" applyFont="1"/>
    <xf borderId="11" fillId="0" fontId="9" numFmtId="0" xfId="0" applyBorder="1" applyFont="1"/>
    <xf borderId="12" fillId="0" fontId="6" numFmtId="0" xfId="0" applyAlignment="1" applyBorder="1" applyFont="1">
      <alignment horizontal="center" readingOrder="0" shrinkToFit="0" wrapText="0"/>
    </xf>
    <xf borderId="13" fillId="0" fontId="6" numFmtId="0" xfId="0" applyAlignment="1" applyBorder="1" applyFont="1">
      <alignment horizontal="center" readingOrder="0" shrinkToFit="0" wrapText="1"/>
    </xf>
    <xf borderId="12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 shrinkToFit="0" wrapText="0"/>
    </xf>
    <xf borderId="14" fillId="0" fontId="10" numFmtId="0" xfId="0" applyAlignment="1" applyBorder="1" applyFont="1">
      <alignment horizontal="center" readingOrder="0" shrinkToFit="0" vertical="bottom" wrapText="0"/>
    </xf>
    <xf borderId="15" fillId="0" fontId="9" numFmtId="0" xfId="0" applyBorder="1" applyFont="1"/>
    <xf borderId="16" fillId="0" fontId="9" numFmtId="0" xfId="0" applyBorder="1" applyFont="1"/>
    <xf borderId="17" fillId="0" fontId="6" numFmtId="0" xfId="0" applyAlignment="1" applyBorder="1" applyFont="1">
      <alignment horizontal="center" readingOrder="0" shrinkToFit="0" wrapText="0"/>
    </xf>
    <xf borderId="11" fillId="0" fontId="6" numFmtId="0" xfId="0" applyAlignment="1" applyBorder="1" applyFont="1">
      <alignment horizontal="center" readingOrder="0" shrinkToFit="0" wrapText="1"/>
    </xf>
    <xf borderId="13" fillId="0" fontId="1" numFmtId="0" xfId="0" applyAlignment="1" applyBorder="1" applyFont="1">
      <alignment horizontal="center" readingOrder="0" shrinkToFit="0" vertical="bottom" wrapText="0"/>
    </xf>
    <xf borderId="18" fillId="0" fontId="1" numFmtId="0" xfId="0" applyAlignment="1" applyBorder="1" applyFont="1">
      <alignment horizontal="center" readingOrder="0"/>
    </xf>
    <xf borderId="19" fillId="0" fontId="1" numFmtId="0" xfId="0" applyAlignment="1" applyBorder="1" applyFont="1">
      <alignment horizontal="center" readingOrder="0"/>
    </xf>
    <xf borderId="19" fillId="0" fontId="1" numFmtId="0" xfId="0" applyAlignment="1" applyBorder="1" applyFont="1">
      <alignment horizontal="center" readingOrder="0" shrinkToFit="0" wrapText="0"/>
    </xf>
    <xf borderId="19" fillId="0" fontId="1" numFmtId="0" xfId="0" applyAlignment="1" applyBorder="1" applyFont="1">
      <alignment horizontal="center" readingOrder="0" shrinkToFit="0" vertical="bottom" wrapText="0"/>
    </xf>
    <xf borderId="17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 shrinkToFit="0" wrapText="0"/>
    </xf>
    <xf borderId="11" fillId="0" fontId="1" numFmtId="0" xfId="0" applyAlignment="1" applyBorder="1" applyFont="1">
      <alignment horizontal="center" readingOrder="0" shrinkToFit="0" vertical="bottom" wrapText="0"/>
    </xf>
    <xf borderId="11" fillId="2" fontId="2" numFmtId="0" xfId="0" applyAlignment="1" applyBorder="1" applyFill="1" applyFont="1">
      <alignment horizontal="center" readingOrder="0" shrinkToFit="0" vertical="bottom" wrapText="0"/>
    </xf>
    <xf borderId="20" fillId="0" fontId="1" numFmtId="0" xfId="0" applyAlignment="1" applyBorder="1" applyFont="1">
      <alignment shrinkToFit="0" vertical="bottom" wrapText="0"/>
    </xf>
    <xf borderId="19" fillId="0" fontId="1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horizontal="center" readingOrder="0" shrinkToFit="0" vertical="bottom" wrapText="0"/>
    </xf>
    <xf borderId="12" fillId="0" fontId="1" numFmtId="0" xfId="0" applyAlignment="1" applyBorder="1" applyFont="1">
      <alignment horizontal="center" readingOrder="0" shrinkToFit="0" wrapText="1"/>
    </xf>
    <xf borderId="13" fillId="2" fontId="1" numFmtId="0" xfId="0" applyAlignment="1" applyBorder="1" applyFont="1">
      <alignment horizontal="center" readingOrder="0" shrinkToFit="0" vertical="center" wrapText="0"/>
    </xf>
    <xf borderId="21" fillId="0" fontId="1" numFmtId="0" xfId="0" applyAlignment="1" applyBorder="1" applyFont="1">
      <alignment shrinkToFit="0" vertical="bottom" wrapText="0"/>
    </xf>
    <xf borderId="13" fillId="0" fontId="1" numFmtId="0" xfId="0" applyAlignment="1" applyBorder="1" applyFont="1">
      <alignment shrinkToFit="0" vertical="bottom" wrapText="0"/>
    </xf>
    <xf borderId="9" fillId="0" fontId="8" numFmtId="0" xfId="0" applyAlignment="1" applyBorder="1" applyFont="1">
      <alignment horizontal="center" readingOrder="0" shrinkToFit="0" wrapText="0"/>
    </xf>
    <xf borderId="11" fillId="2" fontId="1" numFmtId="0" xfId="0" applyAlignment="1" applyBorder="1" applyFont="1">
      <alignment horizontal="center" readingOrder="0" shrinkToFit="0" vertical="bottom" wrapText="0"/>
    </xf>
    <xf borderId="14" fillId="0" fontId="6" numFmtId="0" xfId="0" applyAlignment="1" applyBorder="1" applyFont="1">
      <alignment horizontal="center" readingOrder="0" shrinkToFit="0" wrapText="0"/>
    </xf>
    <xf borderId="17" fillId="0" fontId="6" numFmtId="0" xfId="0" applyAlignment="1" applyBorder="1" applyFont="1">
      <alignment readingOrder="0"/>
    </xf>
    <xf borderId="11" fillId="0" fontId="1" numFmtId="0" xfId="0" applyAlignment="1" applyBorder="1" applyFont="1">
      <alignment readingOrder="0" shrinkToFit="0" wrapText="1"/>
    </xf>
    <xf borderId="12" fillId="0" fontId="6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3" fillId="0" fontId="1" numFmtId="0" xfId="0" applyAlignment="1" applyBorder="1" applyFont="1">
      <alignment horizontal="left" readingOrder="0"/>
    </xf>
    <xf borderId="13" fillId="0" fontId="1" numFmtId="3" xfId="0" applyAlignment="1" applyBorder="1" applyFont="1" applyNumberFormat="1">
      <alignment horizontal="left" readingOrder="0"/>
    </xf>
    <xf borderId="12" fillId="0" fontId="6" numFmtId="0" xfId="0" applyAlignment="1" applyBorder="1" applyFont="1">
      <alignment readingOrder="0" shrinkToFit="0" vertical="bottom" wrapText="1"/>
    </xf>
    <xf borderId="13" fillId="0" fontId="1" numFmtId="0" xfId="0" applyAlignment="1" applyBorder="1" applyFont="1">
      <alignment horizontal="left" readingOrder="0" shrinkToFit="0" wrapText="0"/>
    </xf>
    <xf borderId="13" fillId="2" fontId="1" numFmtId="0" xfId="0" applyAlignment="1" applyBorder="1" applyFont="1">
      <alignment horizontal="left" readingOrder="0" shrinkToFit="0" vertical="bottom" wrapText="0"/>
    </xf>
    <xf borderId="9" fillId="0" fontId="11" numFmtId="0" xfId="0" applyAlignment="1" applyBorder="1" applyFont="1">
      <alignment horizontal="center" readingOrder="0" shrinkToFit="0" wrapText="0"/>
    </xf>
    <xf borderId="9" fillId="2" fontId="6" numFmtId="0" xfId="0" applyAlignment="1" applyBorder="1" applyFont="1">
      <alignment horizontal="center" readingOrder="0" shrinkToFit="0" wrapText="0"/>
    </xf>
    <xf borderId="17" fillId="0" fontId="6" numFmtId="0" xfId="0" applyAlignment="1" applyBorder="1" applyFont="1">
      <alignment horizontal="left" readingOrder="0" shrinkToFit="0" vertical="top" wrapText="0"/>
    </xf>
    <xf borderId="17" fillId="0" fontId="12" numFmtId="0" xfId="0" applyAlignment="1" applyBorder="1" applyFont="1">
      <alignment horizontal="center" readingOrder="0" shrinkToFit="0" vertical="bottom" wrapText="0"/>
    </xf>
    <xf borderId="17" fillId="0" fontId="6" numFmtId="0" xfId="0" applyAlignment="1" applyBorder="1" applyFont="1">
      <alignment readingOrder="0" shrinkToFit="0" vertical="bottom" wrapText="0"/>
    </xf>
    <xf borderId="17" fillId="0" fontId="1" numFmtId="0" xfId="0" applyAlignment="1" applyBorder="1" applyFont="1">
      <alignment horizontal="center" readingOrder="0" shrinkToFit="0" vertical="bottom" wrapText="0"/>
    </xf>
    <xf borderId="17" fillId="0" fontId="2" numFmtId="0" xfId="0" applyAlignment="1" applyBorder="1" applyFont="1">
      <alignment horizontal="center" readingOrder="0" shrinkToFit="0" vertical="bottom" wrapText="0"/>
    </xf>
    <xf borderId="9" fillId="2" fontId="6" numFmtId="0" xfId="0" applyAlignment="1" applyBorder="1" applyFont="1">
      <alignment horizontal="center" readingOrder="0" shrinkToFit="0" vertical="bottom" wrapText="0"/>
    </xf>
    <xf borderId="17" fillId="0" fontId="6" numFmtId="0" xfId="0" applyAlignment="1" applyBorder="1" applyFont="1">
      <alignment readingOrder="0" vertical="bottom"/>
    </xf>
    <xf borderId="17" fillId="0" fontId="1" numFmtId="4" xfId="0" applyAlignment="1" applyBorder="1" applyFont="1" applyNumberFormat="1">
      <alignment horizontal="center" readingOrder="0" shrinkToFit="0" wrapText="0"/>
    </xf>
    <xf borderId="17" fillId="0" fontId="1" numFmtId="0" xfId="0" applyAlignment="1" applyBorder="1" applyFont="1">
      <alignment horizontal="center" readingOrder="0" shrinkToFit="0" wrapText="0"/>
    </xf>
    <xf borderId="17" fillId="3" fontId="13" numFmtId="0" xfId="0" applyAlignment="1" applyBorder="1" applyFill="1" applyFont="1">
      <alignment horizontal="right" readingOrder="0"/>
    </xf>
    <xf borderId="17" fillId="3" fontId="13" numFmtId="0" xfId="0" applyAlignment="1" applyBorder="1" applyFont="1">
      <alignment horizontal="center" readingOrder="0" shrinkToFit="0" vertical="bottom" wrapText="0"/>
    </xf>
    <xf borderId="17" fillId="3" fontId="13" numFmtId="3" xfId="0" applyAlignment="1" applyBorder="1" applyFont="1" applyNumberFormat="1">
      <alignment horizontal="center" readingOrder="0" shrinkToFit="0" vertical="bottom" wrapText="0"/>
    </xf>
    <xf borderId="17" fillId="0" fontId="6" numFmtId="0" xfId="0" applyAlignment="1" applyBorder="1" applyFont="1">
      <alignment horizontal="left" readingOrder="0"/>
    </xf>
    <xf borderId="17" fillId="0" fontId="14" numFmtId="0" xfId="0" applyAlignment="1" applyBorder="1" applyFont="1">
      <alignment horizontal="left" readingOrder="0"/>
    </xf>
    <xf borderId="17" fillId="4" fontId="15" numFmtId="0" xfId="0" applyAlignment="1" applyBorder="1" applyFill="1" applyFont="1">
      <alignment horizontal="center" readingOrder="0" shrinkToFit="0" wrapText="0"/>
    </xf>
    <xf borderId="17" fillId="0" fontId="2" numFmtId="0" xfId="0" applyAlignment="1" applyBorder="1" applyFont="1">
      <alignment horizontal="center" readingOrder="0" shrinkToFit="0" wrapText="0"/>
    </xf>
    <xf borderId="17" fillId="0" fontId="16" numFmtId="0" xfId="0" applyAlignment="1" applyBorder="1" applyFont="1">
      <alignment readingOrder="0" vertical="bottom"/>
    </xf>
    <xf borderId="17" fillId="0" fontId="1" numFmtId="0" xfId="0" applyAlignment="1" applyBorder="1" applyFont="1">
      <alignment horizontal="center" shrinkToFit="0" vertical="bottom" wrapText="0"/>
    </xf>
    <xf borderId="0" fillId="0" fontId="17" numFmtId="0" xfId="0" applyAlignment="1" applyFont="1">
      <alignment horizontal="center" readingOrder="0" shrinkToFit="0" wrapText="0"/>
    </xf>
    <xf borderId="0" fillId="0" fontId="11" numFmtId="0" xfId="0" applyAlignment="1" applyFont="1">
      <alignment horizontal="center" readingOrder="0" shrinkToFit="0" wrapText="0"/>
    </xf>
    <xf borderId="14" fillId="0" fontId="18" numFmtId="0" xfId="0" applyAlignment="1" applyBorder="1" applyFont="1">
      <alignment horizontal="center" readingOrder="0" shrinkToFit="0" wrapText="0"/>
    </xf>
    <xf borderId="12" fillId="0" fontId="14" numFmtId="0" xfId="0" applyAlignment="1" applyBorder="1" applyFont="1">
      <alignment horizontal="left" readingOrder="0" shrinkToFit="0" vertical="top" wrapText="0"/>
    </xf>
    <xf borderId="19" fillId="0" fontId="19" numFmtId="0" xfId="0" applyAlignment="1" applyBorder="1" applyFont="1">
      <alignment horizontal="center" readingOrder="0"/>
    </xf>
    <xf borderId="12" fillId="0" fontId="14" numFmtId="0" xfId="0" applyAlignment="1" applyBorder="1" applyFont="1">
      <alignment readingOrder="0" shrinkToFit="0" vertical="bottom" wrapText="0"/>
    </xf>
    <xf borderId="12" fillId="0" fontId="6" numFmtId="0" xfId="0" applyAlignment="1" applyBorder="1" applyFont="1">
      <alignment readingOrder="0" shrinkToFit="0" vertical="bottom" wrapText="0"/>
    </xf>
    <xf borderId="13" fillId="0" fontId="2" numFmtId="0" xfId="0" applyAlignment="1" applyBorder="1" applyFont="1">
      <alignment horizontal="center" readingOrder="0" shrinkToFit="0" vertical="bottom" wrapText="0"/>
    </xf>
    <xf borderId="12" fillId="0" fontId="6" numFmtId="0" xfId="0" applyAlignment="1" applyBorder="1" applyFont="1">
      <alignment shrinkToFit="0" vertical="bottom" wrapText="0"/>
    </xf>
    <xf borderId="22" fillId="2" fontId="6" numFmtId="0" xfId="0" applyAlignment="1" applyBorder="1" applyFont="1">
      <alignment horizontal="center" readingOrder="0" shrinkToFit="0" vertical="bottom" wrapText="0"/>
    </xf>
    <xf borderId="13" fillId="0" fontId="9" numFmtId="0" xfId="0" applyBorder="1" applyFont="1"/>
    <xf borderId="12" fillId="0" fontId="6" numFmtId="0" xfId="0" applyAlignment="1" applyBorder="1" applyFont="1">
      <alignment readingOrder="0" vertical="bottom"/>
    </xf>
    <xf borderId="13" fillId="0" fontId="2" numFmtId="0" xfId="0" applyAlignment="1" applyBorder="1" applyFont="1">
      <alignment horizontal="center" readingOrder="0" shrinkToFit="0" wrapText="0"/>
    </xf>
    <xf borderId="9" fillId="0" fontId="6" numFmtId="0" xfId="0" applyAlignment="1" applyBorder="1" applyFont="1">
      <alignment readingOrder="0" vertical="bottom"/>
    </xf>
    <xf borderId="12" fillId="3" fontId="13" numFmtId="0" xfId="0" applyAlignment="1" applyBorder="1" applyFont="1">
      <alignment horizontal="right" readingOrder="0"/>
    </xf>
    <xf borderId="13" fillId="3" fontId="13" numFmtId="0" xfId="0" applyAlignment="1" applyBorder="1" applyFont="1">
      <alignment horizontal="center" readingOrder="0" shrinkToFit="0" vertical="bottom" wrapText="0"/>
    </xf>
    <xf borderId="12" fillId="0" fontId="6" numFmtId="0" xfId="0" applyAlignment="1" applyBorder="1" applyFont="1">
      <alignment horizontal="left" readingOrder="0"/>
    </xf>
    <xf borderId="12" fillId="0" fontId="14" numFmtId="0" xfId="0" applyAlignment="1" applyBorder="1" applyFont="1">
      <alignment horizontal="left" readingOrder="0"/>
    </xf>
    <xf borderId="12" fillId="0" fontId="14" numFmtId="0" xfId="0" applyAlignment="1" applyBorder="1" applyFont="1">
      <alignment readingOrder="0" vertical="bottom"/>
    </xf>
    <xf borderId="9" fillId="0" fontId="11" numFmtId="0" xfId="0" applyAlignment="1" applyBorder="1" applyFont="1">
      <alignment horizontal="center" readingOrder="0" shrinkToFit="0" vertical="bottom" wrapText="0"/>
    </xf>
    <xf borderId="9" fillId="0" fontId="1" numFmtId="0" xfId="0" applyAlignment="1" applyBorder="1" applyFont="1">
      <alignment horizontal="center" readingOrder="0" shrinkToFit="0" vertical="bottom" wrapText="0"/>
    </xf>
    <xf borderId="9" fillId="0" fontId="3" numFmtId="0" xfId="0" applyAlignment="1" applyBorder="1" applyFont="1">
      <alignment horizontal="center" readingOrder="0"/>
    </xf>
    <xf borderId="17" fillId="0" fontId="1" numFmtId="0" xfId="0" applyAlignment="1" applyBorder="1" applyFont="1">
      <alignment horizontal="center" shrinkToFit="0" wrapText="0"/>
    </xf>
    <xf borderId="17" fillId="0" fontId="14" numFmtId="0" xfId="0" applyAlignment="1" applyBorder="1" applyFont="1">
      <alignment horizontal="center" readingOrder="0" shrinkToFit="0" wrapText="0"/>
    </xf>
    <xf borderId="17" fillId="0" fontId="14" numFmtId="0" xfId="0" applyAlignment="1" applyBorder="1" applyFont="1">
      <alignment horizontal="center" readingOrder="0" shrinkToFit="0" wrapText="1"/>
    </xf>
    <xf borderId="17" fillId="0" fontId="1" numFmtId="0" xfId="0" applyAlignment="1" applyBorder="1" applyFont="1">
      <alignment horizontal="center" readingOrder="0" shrinkToFit="0" vertical="center" wrapText="0"/>
    </xf>
    <xf borderId="17" fillId="0" fontId="2" numFmtId="0" xfId="0" applyAlignment="1" applyBorder="1" applyFont="1">
      <alignment horizontal="center" readingOrder="0" shrinkToFit="0" vertical="center" wrapText="0"/>
    </xf>
    <xf borderId="17" fillId="0" fontId="1" numFmtId="0" xfId="0" applyAlignment="1" applyBorder="1" applyFont="1">
      <alignment horizontal="center" readingOrder="0" shrinkToFit="0" wrapText="1"/>
    </xf>
    <xf borderId="17" fillId="0" fontId="2" numFmtId="0" xfId="0" applyAlignment="1" applyBorder="1" applyFont="1">
      <alignment horizontal="center" readingOrder="0"/>
    </xf>
    <xf borderId="17" fillId="0" fontId="6" numFmtId="0" xfId="0" applyAlignment="1" applyBorder="1" applyFont="1">
      <alignment horizontal="center" readingOrder="0" shrinkToFit="0" wrapText="1"/>
    </xf>
    <xf borderId="17" fillId="0" fontId="20" numFmtId="0" xfId="0" applyAlignment="1" applyBorder="1" applyFont="1">
      <alignment horizontal="center" readingOrder="0" shrinkToFit="0" wrapText="0"/>
    </xf>
    <xf borderId="17" fillId="0" fontId="6" numFmtId="0" xfId="0" applyAlignment="1" applyBorder="1" applyFont="1">
      <alignment shrinkToFit="0" vertical="bottom" wrapText="0"/>
    </xf>
    <xf borderId="9" fillId="0" fontId="14" numFmtId="0" xfId="0" applyAlignment="1" applyBorder="1" applyFont="1">
      <alignment horizontal="center" readingOrder="0" shrinkToFit="0" wrapText="0"/>
    </xf>
    <xf borderId="9" fillId="0" fontId="6" numFmtId="0" xfId="0" applyAlignment="1" applyBorder="1" applyFont="1">
      <alignment horizontal="center" readingOrder="0" shrinkToFit="0" wrapText="0"/>
    </xf>
    <xf borderId="9" fillId="0" fontId="2" numFmtId="0" xfId="0" applyAlignment="1" applyBorder="1" applyFont="1">
      <alignment horizontal="center" readingOrder="0" shrinkToFit="0" vertical="bottom" wrapText="0"/>
    </xf>
    <xf borderId="9" fillId="0" fontId="1" numFmtId="0" xfId="0" applyAlignment="1" applyBorder="1" applyFont="1">
      <alignment horizontal="center" readingOrder="0" shrinkToFit="0" wrapText="0"/>
    </xf>
    <xf borderId="9" fillId="0" fontId="6" numFmtId="0" xfId="0" applyAlignment="1" applyBorder="1" applyFont="1">
      <alignment horizontal="right" readingOrder="0" shrinkToFit="0" wrapText="0"/>
    </xf>
    <xf borderId="0" fillId="0" fontId="21" numFmtId="0" xfId="0" applyAlignment="1" applyFont="1">
      <alignment readingOrder="0"/>
    </xf>
    <xf borderId="9" fillId="0" fontId="18" numFmtId="0" xfId="0" applyAlignment="1" applyBorder="1" applyFont="1">
      <alignment horizontal="center" readingOrder="0" shrinkToFit="0" vertical="bottom" wrapText="0"/>
    </xf>
    <xf borderId="14" fillId="0" fontId="2" numFmtId="0" xfId="0" applyAlignment="1" applyBorder="1" applyFont="1">
      <alignment horizontal="center" readingOrder="0" shrinkToFit="0" vertical="bottom" wrapText="0"/>
    </xf>
    <xf borderId="10" fillId="0" fontId="2" numFmtId="0" xfId="0" applyAlignment="1" applyBorder="1" applyFont="1">
      <alignment horizontal="center" readingOrder="0" shrinkToFit="0" vertical="bottom" wrapText="0"/>
    </xf>
    <xf borderId="22" fillId="2" fontId="6" numFmtId="0" xfId="0" applyAlignment="1" applyBorder="1" applyFont="1">
      <alignment horizontal="center" readingOrder="0" shrinkToFit="0" wrapText="0"/>
    </xf>
    <xf borderId="21" fillId="0" fontId="9" numFmtId="0" xfId="0" applyBorder="1" applyFont="1"/>
    <xf borderId="12" fillId="0" fontId="1" numFmtId="0" xfId="0" applyAlignment="1" applyBorder="1" applyFont="1">
      <alignment horizontal="center" shrinkToFit="0" wrapText="0"/>
    </xf>
    <xf borderId="13" fillId="0" fontId="14" numFmtId="0" xfId="0" applyAlignment="1" applyBorder="1" applyFont="1">
      <alignment horizontal="center" readingOrder="0" shrinkToFit="0" wrapText="0"/>
    </xf>
    <xf borderId="13" fillId="0" fontId="14" numFmtId="0" xfId="0" applyAlignment="1" applyBorder="1" applyFont="1">
      <alignment horizontal="center" readingOrder="0" shrinkToFit="0" wrapText="1"/>
    </xf>
    <xf borderId="12" fillId="0" fontId="1" numFmtId="0" xfId="0" applyAlignment="1" applyBorder="1" applyFont="1">
      <alignment horizontal="center" readingOrder="0" shrinkToFit="0" vertical="center" wrapText="0"/>
    </xf>
    <xf borderId="13" fillId="0" fontId="2" numFmtId="0" xfId="0" applyAlignment="1" applyBorder="1" applyFont="1">
      <alignment horizontal="center" readingOrder="0" shrinkToFit="0" vertical="center" wrapText="0"/>
    </xf>
    <xf borderId="13" fillId="0" fontId="2" numFmtId="0" xfId="0" applyAlignment="1" applyBorder="1" applyFont="1">
      <alignment horizontal="center" readingOrder="0" shrinkToFit="0" wrapText="1"/>
    </xf>
    <xf borderId="12" fillId="3" fontId="22" numFmtId="0" xfId="0" applyAlignment="1" applyBorder="1" applyFont="1">
      <alignment horizontal="right" readingOrder="0"/>
    </xf>
    <xf borderId="13" fillId="0" fontId="2" numFmtId="0" xfId="0" applyAlignment="1" applyBorder="1" applyFont="1">
      <alignment horizontal="center" readingOrder="0"/>
    </xf>
    <xf borderId="13" fillId="0" fontId="6" numFmtId="0" xfId="0" applyAlignment="1" applyBorder="1" applyFont="1">
      <alignment horizontal="center" readingOrder="0" shrinkToFit="0" wrapText="0"/>
    </xf>
    <xf borderId="13" fillId="0" fontId="23" numFmtId="0" xfId="0" applyAlignment="1" applyBorder="1" applyFont="1">
      <alignment horizontal="center" readingOrder="0" shrinkToFit="0" wrapText="0"/>
    </xf>
    <xf borderId="10" fillId="0" fontId="14" numFmtId="0" xfId="0" applyAlignment="1" applyBorder="1" applyFont="1">
      <alignment horizontal="center" readingOrder="0" shrinkToFit="0" wrapText="0"/>
    </xf>
    <xf borderId="10" fillId="0" fontId="6" numFmtId="0" xfId="0" applyAlignment="1" applyBorder="1" applyFont="1">
      <alignment horizontal="center" readingOrder="0" shrinkToFit="0" wrapText="0"/>
    </xf>
    <xf borderId="10" fillId="0" fontId="2" numFmtId="0" xfId="0" applyAlignment="1" applyBorder="1" applyFont="1">
      <alignment horizontal="center" readingOrder="0" shrinkToFit="0" wrapText="0"/>
    </xf>
    <xf borderId="0" fillId="5" fontId="18" numFmtId="0" xfId="0" applyAlignment="1" applyFill="1" applyFont="1">
      <alignment horizontal="center" readingOrder="0" shrinkToFit="0" vertical="bottom" wrapText="0"/>
    </xf>
    <xf borderId="0" fillId="5" fontId="2" numFmtId="0" xfId="0" applyAlignment="1" applyFont="1">
      <alignment horizontal="center" readingOrder="0" shrinkToFit="0" vertical="bottom" wrapText="0"/>
    </xf>
    <xf borderId="0" fillId="5" fontId="1" numFmtId="0" xfId="0" applyAlignment="1" applyFont="1">
      <alignment horizontal="right" readingOrder="0" shrinkToFit="0" vertical="bottom" wrapText="0"/>
    </xf>
    <xf borderId="0" fillId="5" fontId="6" numFmtId="0" xfId="0" applyAlignment="1" applyFont="1">
      <alignment horizontal="center" readingOrder="0" shrinkToFit="0" wrapText="0"/>
    </xf>
    <xf borderId="0" fillId="5" fontId="1" numFmtId="0" xfId="0" applyAlignment="1" applyFont="1">
      <alignment horizontal="center" shrinkToFit="0" wrapText="0"/>
    </xf>
    <xf borderId="0" fillId="5" fontId="6" numFmtId="0" xfId="0" applyAlignment="1" applyFont="1">
      <alignment horizontal="center" readingOrder="0" shrinkToFit="0" wrapText="1"/>
    </xf>
    <xf borderId="0" fillId="5" fontId="14" numFmtId="0" xfId="0" applyAlignment="1" applyFont="1">
      <alignment horizontal="center" readingOrder="0" shrinkToFit="0" wrapText="0"/>
    </xf>
    <xf borderId="0" fillId="5" fontId="1" numFmtId="0" xfId="0" applyAlignment="1" applyFont="1">
      <alignment horizontal="center" readingOrder="0" shrinkToFit="0" vertical="center" wrapText="0"/>
    </xf>
    <xf borderId="0" fillId="5" fontId="2" numFmtId="0" xfId="0" applyAlignment="1" applyFont="1">
      <alignment horizontal="center" readingOrder="0" shrinkToFit="0" vertical="center" wrapText="0"/>
    </xf>
    <xf borderId="0" fillId="5" fontId="2" numFmtId="0" xfId="0" applyAlignment="1" applyFont="1">
      <alignment horizontal="center" readingOrder="0" shrinkToFit="0" wrapText="1"/>
    </xf>
    <xf borderId="0" fillId="5" fontId="22" numFmtId="0" xfId="0" applyAlignment="1" applyFont="1">
      <alignment horizontal="right" readingOrder="0"/>
    </xf>
    <xf borderId="0" fillId="5" fontId="2" numFmtId="0" xfId="0" applyAlignment="1" applyFont="1">
      <alignment horizontal="center" readingOrder="0" shrinkToFit="0" wrapText="0"/>
    </xf>
    <xf borderId="0" fillId="5" fontId="2" numFmtId="0" xfId="0" applyAlignment="1" applyFont="1">
      <alignment horizontal="center" readingOrder="0"/>
    </xf>
    <xf borderId="0" fillId="5" fontId="1" numFmtId="0" xfId="0" applyAlignment="1" applyFont="1">
      <alignment horizontal="center" readingOrder="0" shrinkToFit="0" vertical="bottom" wrapText="0"/>
    </xf>
    <xf borderId="0" fillId="5" fontId="23" numFmtId="0" xfId="0" applyAlignment="1" applyFont="1">
      <alignment horizontal="center" readingOrder="0" shrinkToFit="0" wrapText="0"/>
    </xf>
    <xf borderId="0" fillId="5" fontId="1" numFmtId="0" xfId="0" applyAlignment="1" applyFont="1">
      <alignment horizontal="center" readingOrder="0" shrinkToFit="0" wrapText="0"/>
    </xf>
    <xf borderId="0" fillId="5" fontId="6" numFmtId="0" xfId="0" applyAlignment="1" applyFont="1">
      <alignment shrinkToFit="0" vertical="bottom" wrapText="0"/>
    </xf>
    <xf borderId="0" fillId="5" fontId="6" numFmtId="0" xfId="0" applyAlignment="1" applyFont="1">
      <alignment horizontal="right" readingOrder="0" shrinkToFit="0" wrapText="0"/>
    </xf>
    <xf borderId="9" fillId="0" fontId="11" numFmtId="0" xfId="0" applyAlignment="1" applyBorder="1" applyFont="1">
      <alignment horizontal="center" readingOrder="0" vertical="bottom"/>
    </xf>
    <xf borderId="11" fillId="0" fontId="18" numFmtId="0" xfId="0" applyAlignment="1" applyBorder="1" applyFont="1">
      <alignment horizontal="center" readingOrder="0" shrinkToFit="0" vertical="bottom" wrapText="0"/>
    </xf>
    <xf borderId="9" fillId="0" fontId="1" numFmtId="0" xfId="0" applyAlignment="1" applyBorder="1" applyFont="1">
      <alignment horizontal="center" readingOrder="0" vertical="bottom"/>
    </xf>
    <xf borderId="16" fillId="0" fontId="1" numFmtId="0" xfId="0" applyAlignment="1" applyBorder="1" applyFont="1">
      <alignment horizontal="center" readingOrder="0" shrinkToFit="0" vertical="bottom" wrapText="0"/>
    </xf>
    <xf borderId="10" fillId="0" fontId="24" numFmtId="0" xfId="0" applyAlignment="1" applyBorder="1" applyFont="1">
      <alignment horizontal="center" readingOrder="0" vertical="bottom"/>
    </xf>
    <xf borderId="11" fillId="0" fontId="7" numFmtId="0" xfId="0" applyAlignment="1" applyBorder="1" applyFont="1">
      <alignment horizontal="center" readingOrder="0" vertical="bottom"/>
    </xf>
    <xf borderId="10" fillId="0" fontId="7" numFmtId="0" xfId="0" applyAlignment="1" applyBorder="1" applyFont="1">
      <alignment horizontal="center" readingOrder="0" vertical="bottom"/>
    </xf>
    <xf borderId="9" fillId="2" fontId="6" numFmtId="0" xfId="0" applyAlignment="1" applyBorder="1" applyFont="1">
      <alignment horizontal="center" readingOrder="0" vertical="bottom"/>
    </xf>
    <xf borderId="13" fillId="2" fontId="6" numFmtId="0" xfId="0" applyAlignment="1" applyBorder="1" applyFont="1">
      <alignment horizontal="center" readingOrder="0" shrinkToFit="0" wrapText="0"/>
    </xf>
    <xf borderId="12" fillId="0" fontId="7" numFmtId="0" xfId="0" applyBorder="1" applyFont="1"/>
    <xf borderId="13" fillId="0" fontId="6" numFmtId="0" xfId="0" applyAlignment="1" applyBorder="1" applyFont="1">
      <alignment horizontal="center" readingOrder="0"/>
    </xf>
    <xf borderId="13" fillId="6" fontId="1" numFmtId="0" xfId="0" applyAlignment="1" applyBorder="1" applyFill="1" applyFont="1">
      <alignment horizontal="center" readingOrder="0"/>
    </xf>
    <xf borderId="12" fillId="3" fontId="13" numFmtId="0" xfId="0" applyAlignment="1" applyBorder="1" applyFont="1">
      <alignment horizontal="right" readingOrder="0" vertical="bottom"/>
    </xf>
    <xf borderId="13" fillId="0" fontId="1" numFmtId="0" xfId="0" applyAlignment="1" applyBorder="1" applyFont="1">
      <alignment horizontal="center" readingOrder="0" vertical="bottom"/>
    </xf>
    <xf borderId="11" fillId="2" fontId="14" numFmtId="0" xfId="0" applyAlignment="1" applyBorder="1" applyFont="1">
      <alignment horizontal="center" readingOrder="0" shrinkToFit="0" wrapText="0"/>
    </xf>
    <xf borderId="12" fillId="0" fontId="7" numFmtId="0" xfId="0" applyAlignment="1" applyBorder="1" applyFont="1">
      <alignment vertical="bottom"/>
    </xf>
    <xf borderId="13" fillId="6" fontId="6" numFmtId="0" xfId="0" applyAlignment="1" applyBorder="1" applyFont="1">
      <alignment horizontal="center" readingOrder="0"/>
    </xf>
    <xf borderId="13" fillId="7" fontId="5" numFmtId="0" xfId="0" applyAlignment="1" applyBorder="1" applyFill="1" applyFont="1">
      <alignment horizontal="center" readingOrder="0" vertical="bottom"/>
    </xf>
    <xf borderId="11" fillId="2" fontId="6" numFmtId="0" xfId="0" applyAlignment="1" applyBorder="1" applyFont="1">
      <alignment horizontal="center" readingOrder="0" shrinkToFit="0" wrapText="0"/>
    </xf>
    <xf borderId="10" fillId="0" fontId="6" numFmtId="0" xfId="0" applyAlignment="1" applyBorder="1" applyFont="1">
      <alignment horizontal="center" readingOrder="0"/>
    </xf>
    <xf borderId="13" fillId="0" fontId="6" numFmtId="0" xfId="0" applyAlignment="1" applyBorder="1" applyFont="1">
      <alignment readingOrder="0"/>
    </xf>
    <xf borderId="11" fillId="0" fontId="6" numFmtId="0" xfId="0" applyAlignment="1" applyBorder="1" applyFont="1">
      <alignment horizontal="center" readingOrder="0" shrinkToFit="0" wrapText="0"/>
    </xf>
    <xf borderId="10" fillId="0" fontId="1" numFmtId="0" xfId="0" applyAlignment="1" applyBorder="1" applyFont="1">
      <alignment horizontal="center" readingOrder="0" vertical="bottom"/>
    </xf>
    <xf borderId="11" fillId="0" fontId="2" numFmtId="0" xfId="0" applyAlignment="1" applyBorder="1" applyFont="1">
      <alignment horizontal="center" readingOrder="0" shrinkToFit="0" wrapText="0"/>
    </xf>
    <xf borderId="9" fillId="0" fontId="6" numFmtId="0" xfId="0" applyAlignment="1" applyBorder="1" applyFont="1">
      <alignment horizontal="right" readingOrder="0" vertical="bottom"/>
    </xf>
    <xf borderId="13" fillId="0" fontId="6" numFmtId="0" xfId="0" applyAlignment="1" applyBorder="1" applyFont="1">
      <alignment horizontal="center" readingOrder="0" vertical="bottom"/>
    </xf>
    <xf borderId="9" fillId="8" fontId="14" numFmtId="0" xfId="0" applyAlignment="1" applyBorder="1" applyFill="1" applyFont="1">
      <alignment horizontal="center" readingOrder="0" shrinkToFit="0" vertical="bottom" wrapText="0"/>
    </xf>
    <xf borderId="17" fillId="0" fontId="2" numFmtId="0" xfId="0" applyAlignment="1" applyBorder="1" applyFont="1">
      <alignment readingOrder="0" shrinkToFit="0" vertical="bottom" wrapText="0"/>
    </xf>
    <xf borderId="9" fillId="2" fontId="14" numFmtId="0" xfId="0" applyAlignment="1" applyBorder="1" applyFont="1">
      <alignment horizontal="center" readingOrder="0" shrinkToFit="0" wrapText="0"/>
    </xf>
    <xf borderId="17" fillId="0" fontId="10" numFmtId="0" xfId="0" applyAlignment="1" applyBorder="1" applyFont="1">
      <alignment readingOrder="0"/>
    </xf>
    <xf borderId="17" fillId="0" fontId="2" numFmtId="0" xfId="0" applyAlignment="1" applyBorder="1" applyFont="1">
      <alignment horizontal="center" readingOrder="0" shrinkToFit="0" vertical="center" wrapText="1"/>
    </xf>
    <xf borderId="17" fillId="0" fontId="25" numFmtId="0" xfId="0" applyAlignment="1" applyBorder="1" applyFont="1">
      <alignment horizontal="center" readingOrder="0" shrinkToFit="0" vertical="center" wrapText="1"/>
    </xf>
    <xf borderId="17" fillId="0" fontId="1" numFmtId="10" xfId="0" applyAlignment="1" applyBorder="1" applyFont="1" applyNumberFormat="1">
      <alignment horizontal="right" readingOrder="0" shrinkToFit="0" vertical="bottom" wrapText="0"/>
    </xf>
    <xf borderId="17" fillId="0" fontId="1" numFmtId="0" xfId="0" applyAlignment="1" applyBorder="1" applyFont="1">
      <alignment horizontal="right" readingOrder="0" shrinkToFit="0" vertical="bottom" wrapText="0"/>
    </xf>
    <xf borderId="17" fillId="0" fontId="3" numFmtId="164" xfId="0" applyBorder="1" applyFont="1" applyNumberFormat="1"/>
    <xf borderId="17" fillId="0" fontId="1" numFmtId="164" xfId="0" applyAlignment="1" applyBorder="1" applyFont="1" applyNumberFormat="1">
      <alignment horizontal="right" readingOrder="0" shrinkToFit="0" vertical="bottom" wrapText="0"/>
    </xf>
    <xf borderId="17" fillId="0" fontId="2" numFmtId="164" xfId="0" applyAlignment="1" applyBorder="1" applyFont="1" applyNumberFormat="1">
      <alignment horizontal="right" readingOrder="0" shrinkToFit="0" vertical="bottom" wrapText="0"/>
    </xf>
    <xf borderId="17" fillId="3" fontId="22" numFmtId="0" xfId="0" applyAlignment="1" applyBorder="1" applyFont="1">
      <alignment horizontal="right" readingOrder="0"/>
    </xf>
    <xf borderId="9" fillId="0" fontId="3" numFmtId="0" xfId="0" applyAlignment="1" applyBorder="1" applyFont="1">
      <alignment horizontal="right" readingOrder="0"/>
    </xf>
    <xf borderId="17" fillId="0" fontId="1" numFmtId="0" xfId="0" applyAlignment="1" applyBorder="1" applyFont="1">
      <alignment horizontal="center" shrinkToFit="0" wrapText="1"/>
    </xf>
    <xf borderId="17" fillId="0" fontId="26" numFmtId="0" xfId="0" applyAlignment="1" applyBorder="1" applyFont="1">
      <alignment readingOrder="0" shrinkToFit="0" wrapText="1"/>
    </xf>
    <xf borderId="17" fillId="0" fontId="10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17" fillId="0" fontId="27" numFmtId="1" xfId="0" applyAlignment="1" applyBorder="1" applyFont="1" applyNumberFormat="1">
      <alignment horizontal="center" readingOrder="0" shrinkToFit="0" wrapText="0"/>
    </xf>
    <xf borderId="17" fillId="0" fontId="28" numFmtId="1" xfId="0" applyAlignment="1" applyBorder="1" applyFont="1" applyNumberFormat="1">
      <alignment horizontal="center" readingOrder="0" shrinkToFit="0" wrapText="0"/>
    </xf>
    <xf borderId="17" fillId="0" fontId="29" numFmtId="2" xfId="0" applyAlignment="1" applyBorder="1" applyFont="1" applyNumberFormat="1">
      <alignment horizontal="right"/>
    </xf>
    <xf borderId="17" fillId="0" fontId="3" numFmtId="0" xfId="0" applyBorder="1" applyFont="1"/>
    <xf borderId="9" fillId="8" fontId="30" numFmtId="0" xfId="0" applyAlignment="1" applyBorder="1" applyFont="1">
      <alignment readingOrder="0"/>
    </xf>
    <xf borderId="17" fillId="0" fontId="30" numFmtId="0" xfId="0" applyBorder="1" applyFont="1"/>
    <xf borderId="17" fillId="0" fontId="30" numFmtId="0" xfId="0" applyAlignment="1" applyBorder="1" applyFont="1">
      <alignment readingOrder="0"/>
    </xf>
    <xf borderId="17" fillId="9" fontId="3" numFmtId="0" xfId="0" applyAlignment="1" applyBorder="1" applyFill="1" applyFont="1">
      <alignment readingOrder="0"/>
    </xf>
    <xf borderId="17" fillId="0" fontId="3" numFmtId="0" xfId="0" applyAlignment="1" applyBorder="1" applyFont="1">
      <alignment readingOrder="0"/>
    </xf>
    <xf borderId="0" fillId="8" fontId="30" numFmtId="0" xfId="0" applyAlignment="1" applyFont="1">
      <alignment horizontal="center" readingOrder="0"/>
    </xf>
    <xf borderId="17" fillId="0" fontId="26" numFmtId="0" xfId="0" applyAlignment="1" applyBorder="1" applyFont="1">
      <alignment horizontal="center" readingOrder="0" shrinkToFit="0" wrapText="1"/>
    </xf>
    <xf borderId="17" fillId="0" fontId="28" numFmtId="4" xfId="0" applyAlignment="1" applyBorder="1" applyFont="1" applyNumberFormat="1">
      <alignment horizontal="center" readingOrder="0" shrinkToFit="0" wrapText="0"/>
    </xf>
    <xf borderId="17" fillId="0" fontId="29" numFmtId="2" xfId="0" applyAlignment="1" applyBorder="1" applyFont="1" applyNumberFormat="1">
      <alignment horizontal="right" readingOrder="0"/>
    </xf>
    <xf borderId="15" fillId="6" fontId="14" numFmtId="0" xfId="0" applyAlignment="1" applyBorder="1" applyFont="1">
      <alignment horizontal="center" readingOrder="0" shrinkToFit="0" wrapText="0"/>
    </xf>
    <xf borderId="0" fillId="6" fontId="14" numFmtId="0" xfId="0" applyAlignment="1" applyFont="1">
      <alignment horizontal="center" readingOrder="0" shrinkToFit="0" wrapText="0"/>
    </xf>
    <xf borderId="17" fillId="6" fontId="14" numFmtId="0" xfId="0" applyAlignment="1" applyBorder="1" applyFont="1">
      <alignment horizontal="center" readingOrder="0" shrinkToFit="0" wrapText="0"/>
    </xf>
    <xf borderId="17" fillId="6" fontId="2" numFmtId="0" xfId="0" applyAlignment="1" applyBorder="1" applyFont="1">
      <alignment horizontal="center" readingOrder="0" shrinkToFit="0" wrapText="0"/>
    </xf>
    <xf borderId="9" fillId="6" fontId="14" numFmtId="0" xfId="0" applyAlignment="1" applyBorder="1" applyFont="1">
      <alignment horizontal="center" readingOrder="0" shrinkToFit="0" wrapText="0"/>
    </xf>
    <xf borderId="0" fillId="6" fontId="2" numFmtId="0" xfId="0" applyAlignment="1" applyFont="1">
      <alignment horizontal="center" readingOrder="0" shrinkToFit="0" wrapText="0"/>
    </xf>
    <xf borderId="9" fillId="3" fontId="14" numFmtId="0" xfId="0" applyAlignment="1" applyBorder="1" applyFont="1">
      <alignment horizontal="center" readingOrder="0"/>
    </xf>
    <xf borderId="17" fillId="0" fontId="31" numFmtId="0" xfId="0" applyAlignment="1" applyBorder="1" applyFont="1">
      <alignment horizontal="center" readingOrder="0" shrinkToFit="0" wrapText="1"/>
    </xf>
    <xf borderId="17" fillId="0" fontId="10" numFmtId="0" xfId="0" applyAlignment="1" applyBorder="1" applyFont="1">
      <alignment horizontal="center" readingOrder="0" shrinkToFit="0" wrapText="1"/>
    </xf>
    <xf borderId="17" fillId="0" fontId="31" numFmtId="0" xfId="0" applyAlignment="1" applyBorder="1" applyFont="1">
      <alignment horizontal="center" readingOrder="0"/>
    </xf>
    <xf borderId="9" fillId="8" fontId="31" numFmtId="0" xfId="0" applyAlignment="1" applyBorder="1" applyFont="1">
      <alignment horizontal="center" readingOrder="0"/>
    </xf>
    <xf borderId="23" fillId="0" fontId="3" numFmtId="0" xfId="0" applyAlignment="1" applyBorder="1" applyFont="1">
      <alignment readingOrder="0" vertical="center"/>
    </xf>
    <xf borderId="18" fillId="0" fontId="9" numFmtId="0" xfId="0" applyBorder="1" applyFont="1"/>
    <xf borderId="12" fillId="0" fontId="9" numFmtId="0" xfId="0" applyBorder="1" applyFont="1"/>
    <xf borderId="9" fillId="2" fontId="3" numFmtId="0" xfId="0" applyAlignment="1" applyBorder="1" applyFont="1">
      <alignment horizontal="center" readingOrder="0"/>
    </xf>
    <xf borderId="17" fillId="0" fontId="3" numFmtId="0" xfId="0" applyAlignment="1" applyBorder="1" applyFont="1">
      <alignment readingOrder="0" vertical="center"/>
    </xf>
    <xf borderId="17" fillId="0" fontId="3" numFmtId="0" xfId="0" applyAlignment="1" applyBorder="1" applyFont="1">
      <alignment horizontal="center" readingOrder="0"/>
    </xf>
    <xf borderId="9" fillId="2" fontId="31" numFmtId="0" xfId="0" applyAlignment="1" applyBorder="1" applyFont="1">
      <alignment horizontal="center" readingOrder="0"/>
    </xf>
    <xf borderId="17" fillId="0" fontId="31" numFmtId="0" xfId="0" applyAlignment="1" applyBorder="1" applyFont="1">
      <alignment readingOrder="0"/>
    </xf>
    <xf borderId="17" fillId="3" fontId="13" numFmtId="0" xfId="0" applyAlignment="1" applyBorder="1" applyFont="1">
      <alignment horizontal="right" readingOrder="0" vertical="bottom"/>
    </xf>
    <xf borderId="17" fillId="0" fontId="1" numFmtId="0" xfId="0" applyAlignment="1" applyBorder="1" applyFont="1">
      <alignment horizontal="center" readingOrder="0" vertical="bottom"/>
    </xf>
    <xf borderId="17" fillId="0" fontId="2" numFmtId="0" xfId="0" applyAlignment="1" applyBorder="1" applyFont="1">
      <alignment horizontal="center" readingOrder="0" vertical="bottom"/>
    </xf>
    <xf borderId="0" fillId="8" fontId="31" numFmtId="0" xfId="0" applyAlignment="1" applyFont="1">
      <alignment horizontal="center" readingOrder="0"/>
    </xf>
    <xf borderId="0" fillId="6" fontId="31" numFmtId="0" xfId="0" applyAlignment="1" applyFont="1">
      <alignment horizontal="center" readingOrder="0"/>
    </xf>
    <xf borderId="0" fillId="0" fontId="31" numFmtId="0" xfId="0" applyAlignment="1" applyFont="1">
      <alignment horizontal="center" readingOrder="0"/>
    </xf>
    <xf borderId="17" fillId="0" fontId="31" numFmtId="0" xfId="0" applyAlignment="1" applyBorder="1" applyFont="1">
      <alignment readingOrder="0" shrinkToFit="0" wrapText="1"/>
    </xf>
    <xf borderId="17" fillId="2" fontId="31" numFmtId="0" xfId="0" applyAlignment="1" applyBorder="1" applyFont="1">
      <alignment readingOrder="0"/>
    </xf>
    <xf borderId="0" fillId="2" fontId="31" numFmtId="0" xfId="0" applyAlignment="1" applyFont="1">
      <alignment readingOrder="0"/>
    </xf>
    <xf borderId="0" fillId="2" fontId="3" numFmtId="0" xfId="0" applyFont="1"/>
    <xf borderId="17" fillId="0" fontId="32" numFmtId="0" xfId="0" applyAlignment="1" applyBorder="1" applyFont="1">
      <alignment readingOrder="0"/>
    </xf>
    <xf borderId="17" fillId="0" fontId="33" numFmtId="0" xfId="0" applyAlignment="1" applyBorder="1" applyFont="1">
      <alignment readingOrder="0"/>
    </xf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13" fillId="0" fontId="1" numFmtId="4" xfId="0" applyAlignment="1" applyBorder="1" applyFont="1" applyNumberFormat="1">
      <alignment horizontal="center" readingOrder="0" shrinkToFit="0" vertical="bottom" wrapText="0"/>
    </xf>
    <xf borderId="19" fillId="0" fontId="1" numFmtId="4" xfId="0" applyAlignment="1" applyBorder="1" applyFont="1" applyNumberFormat="1">
      <alignment horizontal="center" readingOrder="0" shrinkToFit="0" vertical="bottom" wrapText="0"/>
    </xf>
    <xf borderId="11" fillId="0" fontId="2" numFmtId="4" xfId="0" applyAlignment="1" applyBorder="1" applyFont="1" applyNumberFormat="1">
      <alignment horizontal="center" readingOrder="0" shrinkToFit="0" vertical="bottom" wrapText="0"/>
    </xf>
    <xf borderId="0" fillId="0" fontId="34" numFmtId="0" xfId="0" applyAlignment="1" applyFont="1">
      <alignment readingOrder="0"/>
    </xf>
    <xf borderId="9" fillId="9" fontId="32" numFmtId="0" xfId="0" applyAlignment="1" applyBorder="1" applyFont="1">
      <alignment readingOrder="0"/>
    </xf>
    <xf borderId="17" fillId="0" fontId="35" numFmtId="0" xfId="0" applyAlignment="1" applyBorder="1" applyFont="1">
      <alignment readingOrder="0"/>
    </xf>
    <xf borderId="17" fillId="9" fontId="3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hina-rkm.com/hexagonal-wire-mesh-machine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nsuntech.com/sale-13737523-low-carbon-steel-wire-electro-galvanizing-machine-2-5-tons-day.html?utm_source" TargetMode="External"/><Relationship Id="rId2" Type="http://schemas.openxmlformats.org/officeDocument/2006/relationships/hyperlink" Target="https://www.hotiongroup.com/sink-roll-p-56.html?utm_source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baba.com/product-detail/Fully-Automatic-Welded-Wire-Mesh-Making_1600927041936.html?spm=a2700.galleryofferlist.topad_classic.d_title.a1b213a0rXTRo5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za.rs-online.com/web/p/centrifugal-fans/8029440" TargetMode="External"/><Relationship Id="rId2" Type="http://schemas.openxmlformats.org/officeDocument/2006/relationships/hyperlink" Target="https://za.rs-online.com/web/p/centrifugal-fans/8029440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1.75"/>
    <col customWidth="1" min="3" max="3" width="15.0"/>
    <col customWidth="1" min="4" max="4" width="9.25"/>
    <col customWidth="1" min="5" max="5" width="13.63"/>
    <col customWidth="1" min="6" max="6" width="8.63"/>
    <col customWidth="1" min="7" max="7" width="16.13"/>
    <col customWidth="1" min="8" max="8" width="3.75"/>
    <col customWidth="1" min="9" max="9" width="18.13"/>
    <col customWidth="1" min="12" max="12" width="18.63"/>
    <col customWidth="1" min="13" max="13" width="17.38"/>
  </cols>
  <sheetData>
    <row r="1">
      <c r="A1" s="1"/>
      <c r="B1" s="1"/>
      <c r="C1" s="1"/>
      <c r="D1" s="1"/>
      <c r="E1" s="1"/>
      <c r="F1" s="1"/>
      <c r="G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4"/>
      <c r="I2" s="4" t="s">
        <v>7</v>
      </c>
    </row>
    <row r="3">
      <c r="A3" s="2" t="s">
        <v>8</v>
      </c>
      <c r="B3" s="5">
        <v>4000.0</v>
      </c>
      <c r="C3" s="5">
        <v>18181.82</v>
      </c>
      <c r="D3" s="5">
        <v>727.27</v>
      </c>
      <c r="E3" s="5">
        <v>18909.09</v>
      </c>
      <c r="F3" s="5">
        <v>808.08</v>
      </c>
      <c r="G3" s="1">
        <f>E3/22.5</f>
        <v>840.404</v>
      </c>
    </row>
    <row r="4">
      <c r="A4" s="2" t="s">
        <v>9</v>
      </c>
      <c r="B4" s="5">
        <v>5500.0</v>
      </c>
      <c r="C4" s="5">
        <v>25000.0</v>
      </c>
      <c r="D4" s="5">
        <v>1000.0</v>
      </c>
      <c r="E4" s="5">
        <v>26000.0</v>
      </c>
      <c r="F4" s="5">
        <v>596.66</v>
      </c>
      <c r="G4" s="1">
        <f t="shared" ref="G4:G7" si="1">E4/B23</f>
        <v>620.5250597</v>
      </c>
      <c r="H4" s="4"/>
      <c r="I4" s="6" t="s">
        <v>10</v>
      </c>
      <c r="J4" s="7"/>
      <c r="K4" s="8" t="s">
        <v>11</v>
      </c>
    </row>
    <row r="5">
      <c r="A5" s="2" t="s">
        <v>12</v>
      </c>
      <c r="B5" s="5">
        <v>2500.0</v>
      </c>
      <c r="C5" s="5">
        <v>11363.64</v>
      </c>
      <c r="D5" s="5">
        <v>454.55</v>
      </c>
      <c r="E5" s="5">
        <v>11818.18</v>
      </c>
      <c r="F5" s="5">
        <v>582.75</v>
      </c>
      <c r="G5" s="1">
        <f t="shared" si="1"/>
        <v>606.0605128</v>
      </c>
      <c r="H5" s="4"/>
      <c r="I5" s="9" t="s">
        <v>13</v>
      </c>
      <c r="J5" s="4" t="s">
        <v>14</v>
      </c>
      <c r="K5" s="10" t="s">
        <v>15</v>
      </c>
    </row>
    <row r="6">
      <c r="A6" s="2" t="s">
        <v>16</v>
      </c>
      <c r="B6" s="5">
        <v>8000.0</v>
      </c>
      <c r="C6" s="5">
        <v>36363.64</v>
      </c>
      <c r="D6" s="5">
        <v>1454.55</v>
      </c>
      <c r="E6" s="5">
        <v>37818.18</v>
      </c>
      <c r="F6" s="5">
        <v>2473.72</v>
      </c>
      <c r="G6" s="1">
        <f t="shared" si="1"/>
        <v>2572.665306</v>
      </c>
      <c r="H6" s="2"/>
      <c r="I6" s="11" t="s">
        <v>8</v>
      </c>
      <c r="J6" s="12">
        <f t="shared" ref="J6:J10" si="2">F3</f>
        <v>808.08</v>
      </c>
      <c r="K6" s="13">
        <f t="shared" ref="K6:K10" si="3">J6/8</f>
        <v>101.01</v>
      </c>
    </row>
    <row r="7">
      <c r="A7" s="2" t="s">
        <v>17</v>
      </c>
      <c r="B7" s="5">
        <v>6000.0</v>
      </c>
      <c r="C7" s="5">
        <v>27272.73</v>
      </c>
      <c r="D7" s="5">
        <v>1090.91</v>
      </c>
      <c r="E7" s="5">
        <v>28363.64</v>
      </c>
      <c r="F7" s="5">
        <v>389.61</v>
      </c>
      <c r="G7" s="1">
        <f t="shared" si="1"/>
        <v>405.1948571</v>
      </c>
      <c r="H7" s="2"/>
      <c r="I7" s="11" t="s">
        <v>9</v>
      </c>
      <c r="J7" s="12">
        <f t="shared" si="2"/>
        <v>596.66</v>
      </c>
      <c r="K7" s="13">
        <f t="shared" si="3"/>
        <v>74.5825</v>
      </c>
    </row>
    <row r="8">
      <c r="A8" s="2" t="s">
        <v>18</v>
      </c>
      <c r="B8" s="5">
        <v>26000.0</v>
      </c>
      <c r="C8" s="5">
        <v>118181.82</v>
      </c>
      <c r="D8" s="5">
        <v>4727.27</v>
      </c>
      <c r="E8" s="5">
        <v>122909.09</v>
      </c>
      <c r="F8" s="1"/>
      <c r="G8" s="1"/>
      <c r="H8" s="2"/>
      <c r="I8" s="11" t="s">
        <v>12</v>
      </c>
      <c r="J8" s="12">
        <f t="shared" si="2"/>
        <v>582.75</v>
      </c>
      <c r="K8" s="13">
        <f t="shared" si="3"/>
        <v>72.84375</v>
      </c>
    </row>
    <row r="9">
      <c r="A9" s="1"/>
      <c r="B9" s="1"/>
      <c r="C9" s="1"/>
      <c r="D9" s="1"/>
      <c r="E9" s="1"/>
      <c r="F9" s="1"/>
      <c r="G9" s="1"/>
      <c r="H9" s="2"/>
      <c r="I9" s="11" t="s">
        <v>16</v>
      </c>
      <c r="J9" s="12">
        <f t="shared" si="2"/>
        <v>2473.72</v>
      </c>
      <c r="K9" s="13">
        <f t="shared" si="3"/>
        <v>309.215</v>
      </c>
    </row>
    <row r="10">
      <c r="A10" s="2" t="s">
        <v>19</v>
      </c>
      <c r="B10" s="14">
        <v>10400.0</v>
      </c>
      <c r="C10" s="5">
        <v>47.27</v>
      </c>
      <c r="D10" s="5">
        <v>1.89</v>
      </c>
      <c r="E10" s="5">
        <v>49.16</v>
      </c>
      <c r="F10" s="1"/>
      <c r="G10" s="1"/>
      <c r="H10" s="2"/>
      <c r="I10" s="11" t="s">
        <v>17</v>
      </c>
      <c r="J10" s="12">
        <f t="shared" si="2"/>
        <v>389.61</v>
      </c>
      <c r="K10" s="13">
        <f t="shared" si="3"/>
        <v>48.70125</v>
      </c>
    </row>
    <row r="11">
      <c r="A11" s="1"/>
      <c r="B11" s="1"/>
      <c r="C11" s="1"/>
      <c r="D11" s="1"/>
      <c r="E11" s="1"/>
      <c r="F11" s="1"/>
      <c r="G11" s="1"/>
      <c r="H11" s="4"/>
      <c r="I11" s="15" t="s">
        <v>18</v>
      </c>
      <c r="J11" s="16">
        <f t="shared" ref="J11:K11" si="4">SUM(J6:J10)</f>
        <v>4850.82</v>
      </c>
      <c r="K11" s="17">
        <f t="shared" si="4"/>
        <v>606.3525</v>
      </c>
    </row>
    <row r="12">
      <c r="A12" s="2" t="s">
        <v>20</v>
      </c>
      <c r="C12" s="1"/>
      <c r="D12" s="1"/>
      <c r="E12" s="5">
        <v>98.33</v>
      </c>
      <c r="F12" s="1"/>
      <c r="G12" s="1"/>
    </row>
    <row r="13">
      <c r="A13" s="2" t="s">
        <v>21</v>
      </c>
      <c r="C13" s="1"/>
      <c r="D13" s="1"/>
      <c r="E13" s="5">
        <v>147.49</v>
      </c>
      <c r="F13" s="1"/>
      <c r="G13" s="1"/>
      <c r="H13" s="4"/>
      <c r="I13" s="4" t="s">
        <v>22</v>
      </c>
      <c r="J13" s="4" t="s">
        <v>23</v>
      </c>
      <c r="K13" s="4" t="s">
        <v>24</v>
      </c>
      <c r="L13" s="4" t="s">
        <v>25</v>
      </c>
      <c r="M13" s="4" t="s">
        <v>26</v>
      </c>
      <c r="N13" s="4" t="s">
        <v>27</v>
      </c>
    </row>
    <row r="14">
      <c r="A14" s="1"/>
      <c r="B14" s="1"/>
      <c r="C14" s="1"/>
      <c r="D14" s="1"/>
      <c r="E14" s="1"/>
      <c r="F14" s="1"/>
      <c r="G14" s="1"/>
      <c r="H14" s="4"/>
      <c r="I14" s="18" t="s">
        <v>28</v>
      </c>
    </row>
    <row r="15">
      <c r="A15" s="2"/>
      <c r="B15" s="1"/>
      <c r="C15" s="1"/>
      <c r="D15" s="1"/>
      <c r="E15" s="1"/>
      <c r="F15" s="1"/>
      <c r="G15" s="1"/>
      <c r="H15" s="2"/>
      <c r="I15" s="2"/>
    </row>
    <row r="16">
      <c r="A16" s="2" t="s">
        <v>29</v>
      </c>
      <c r="B16" s="1"/>
      <c r="C16" s="1"/>
      <c r="D16" s="1"/>
      <c r="E16" s="1"/>
      <c r="F16" s="1"/>
      <c r="G16" s="1"/>
      <c r="H16" s="2"/>
      <c r="I16" s="11" t="s">
        <v>8</v>
      </c>
      <c r="J16" s="12">
        <f>E3/22.5</f>
        <v>840.404</v>
      </c>
      <c r="K16" s="12">
        <f>J16/8</f>
        <v>105.0505</v>
      </c>
      <c r="L16" s="4">
        <f>65*4</f>
        <v>260</v>
      </c>
      <c r="M16" s="12">
        <f>K16/(L16/50)</f>
        <v>20.20201923</v>
      </c>
    </row>
    <row r="17">
      <c r="A17" s="2" t="s">
        <v>30</v>
      </c>
      <c r="B17" s="5">
        <v>220.0</v>
      </c>
      <c r="C17" s="1"/>
      <c r="D17" s="1"/>
      <c r="E17" s="1"/>
      <c r="F17" s="1"/>
      <c r="G17" s="1"/>
    </row>
    <row r="18">
      <c r="A18" s="2" t="s">
        <v>31</v>
      </c>
      <c r="B18" s="5">
        <v>8.0</v>
      </c>
      <c r="C18" s="1"/>
      <c r="D18" s="1"/>
      <c r="E18" s="1"/>
      <c r="F18" s="1"/>
      <c r="G18" s="1"/>
      <c r="H18" s="2"/>
      <c r="I18" s="11" t="s">
        <v>9</v>
      </c>
      <c r="J18" s="12">
        <f>E4</f>
        <v>26000</v>
      </c>
      <c r="K18" s="12">
        <f>J18/8</f>
        <v>3250</v>
      </c>
    </row>
    <row r="19">
      <c r="A19" s="2" t="s">
        <v>32</v>
      </c>
      <c r="B19" s="19">
        <v>0.04</v>
      </c>
      <c r="C19" s="1"/>
      <c r="D19" s="1"/>
      <c r="E19" s="1"/>
      <c r="F19" s="1"/>
      <c r="G19" s="1"/>
    </row>
    <row r="20">
      <c r="A20" s="1"/>
      <c r="B20" s="1"/>
      <c r="C20" s="1"/>
      <c r="D20" s="1"/>
      <c r="E20" s="1"/>
      <c r="F20" s="1"/>
      <c r="G20" s="1"/>
      <c r="H20" s="2"/>
      <c r="I20" s="11" t="s">
        <v>12</v>
      </c>
      <c r="J20" s="12">
        <f>E5</f>
        <v>11818.18</v>
      </c>
      <c r="K20" s="12">
        <f>J20/8</f>
        <v>1477.2725</v>
      </c>
    </row>
    <row r="21">
      <c r="A21" s="2" t="s">
        <v>33</v>
      </c>
      <c r="C21" s="1"/>
      <c r="D21" s="1"/>
      <c r="E21" s="1"/>
      <c r="F21" s="1"/>
      <c r="G21" s="1"/>
    </row>
    <row r="22">
      <c r="A22" s="2" t="s">
        <v>8</v>
      </c>
      <c r="B22" s="5">
        <v>22.5</v>
      </c>
      <c r="C22" s="1"/>
      <c r="D22" s="1"/>
      <c r="E22" s="1"/>
      <c r="F22" s="1"/>
      <c r="G22" s="1"/>
      <c r="H22" s="2"/>
      <c r="I22" s="11" t="s">
        <v>16</v>
      </c>
      <c r="J22" s="12">
        <f>E6</f>
        <v>37818.18</v>
      </c>
      <c r="K22" s="12">
        <f>J22/8</f>
        <v>4727.2725</v>
      </c>
    </row>
    <row r="23">
      <c r="A23" s="2" t="s">
        <v>9</v>
      </c>
      <c r="B23" s="5">
        <v>41.9</v>
      </c>
      <c r="C23" s="1"/>
      <c r="D23" s="1"/>
      <c r="E23" s="1"/>
      <c r="F23" s="1"/>
      <c r="G23" s="1"/>
      <c r="H23" s="2"/>
      <c r="I23" s="11"/>
    </row>
    <row r="24">
      <c r="A24" s="2" t="s">
        <v>12</v>
      </c>
      <c r="B24" s="5">
        <v>19.5</v>
      </c>
      <c r="C24" s="1"/>
      <c r="D24" s="1"/>
      <c r="E24" s="1"/>
      <c r="F24" s="1"/>
      <c r="G24" s="1"/>
      <c r="H24" s="2"/>
      <c r="I24" s="11" t="s">
        <v>17</v>
      </c>
      <c r="J24" s="12">
        <f>E7</f>
        <v>28363.64</v>
      </c>
      <c r="K24" s="12">
        <f>J24/8</f>
        <v>3545.455</v>
      </c>
    </row>
    <row r="25">
      <c r="A25" s="2" t="s">
        <v>16</v>
      </c>
      <c r="B25" s="5">
        <v>14.7</v>
      </c>
      <c r="C25" s="1"/>
      <c r="D25" s="1"/>
      <c r="E25" s="1"/>
      <c r="F25" s="1"/>
      <c r="G25" s="1"/>
    </row>
    <row r="26">
      <c r="A26" s="2" t="s">
        <v>17</v>
      </c>
      <c r="B26" s="5">
        <v>70.0</v>
      </c>
      <c r="C26" s="1"/>
      <c r="D26" s="1"/>
      <c r="E26" s="1"/>
      <c r="F26" s="1"/>
      <c r="G26" s="1"/>
    </row>
    <row r="27">
      <c r="A27" s="1"/>
      <c r="B27" s="1"/>
      <c r="C27" s="1"/>
      <c r="D27" s="1"/>
      <c r="E27" s="1"/>
      <c r="F27" s="1"/>
      <c r="G27" s="1"/>
    </row>
    <row r="41">
      <c r="A41" s="20"/>
    </row>
    <row r="42">
      <c r="A42" s="21"/>
      <c r="B42" s="21"/>
      <c r="C42" s="22"/>
      <c r="D42" s="22"/>
      <c r="E42" s="22"/>
      <c r="F42" s="22"/>
      <c r="G42" s="22"/>
    </row>
    <row r="43">
      <c r="A43" s="23"/>
      <c r="B43" s="23"/>
      <c r="C43" s="24"/>
      <c r="D43" s="24"/>
      <c r="E43" s="24"/>
      <c r="F43" s="24"/>
      <c r="G43" s="24"/>
    </row>
    <row r="44">
      <c r="A44" s="23"/>
      <c r="B44" s="23"/>
      <c r="C44" s="24"/>
      <c r="D44" s="24"/>
      <c r="E44" s="24"/>
      <c r="F44" s="24"/>
      <c r="G44" s="24"/>
    </row>
    <row r="45">
      <c r="A45" s="23"/>
      <c r="B45" s="23"/>
      <c r="C45" s="24"/>
      <c r="D45" s="24"/>
      <c r="E45" s="24"/>
      <c r="F45" s="24"/>
      <c r="G45" s="24"/>
    </row>
    <row r="46">
      <c r="A46" s="23"/>
      <c r="B46" s="23"/>
      <c r="C46" s="24"/>
      <c r="D46" s="24"/>
      <c r="E46" s="24"/>
      <c r="F46" s="24"/>
      <c r="G46" s="24"/>
    </row>
    <row r="47">
      <c r="A47" s="23"/>
      <c r="B47" s="23"/>
      <c r="C47" s="24"/>
      <c r="D47" s="24"/>
      <c r="E47" s="24"/>
      <c r="F47" s="24"/>
      <c r="G47" s="24"/>
    </row>
    <row r="48">
      <c r="A48" s="1"/>
      <c r="B48" s="1"/>
      <c r="C48" s="1"/>
      <c r="D48" s="1"/>
      <c r="E48" s="1"/>
      <c r="F48" s="1"/>
      <c r="G48" s="1"/>
    </row>
    <row r="49">
      <c r="A49" s="20"/>
      <c r="G49" s="1"/>
    </row>
    <row r="50">
      <c r="A50" s="21"/>
      <c r="B50" s="22"/>
      <c r="C50" s="22"/>
      <c r="D50" s="22"/>
      <c r="E50" s="22"/>
      <c r="F50" s="22"/>
      <c r="G50" s="1"/>
    </row>
    <row r="51">
      <c r="A51" s="23"/>
      <c r="B51" s="23"/>
      <c r="C51" s="24"/>
      <c r="D51" s="25"/>
      <c r="E51" s="24"/>
      <c r="F51" s="25"/>
      <c r="G51" s="1"/>
    </row>
    <row r="52">
      <c r="A52" s="23"/>
      <c r="B52" s="23"/>
      <c r="C52" s="24"/>
      <c r="D52" s="25"/>
      <c r="E52" s="24"/>
      <c r="F52" s="25"/>
      <c r="G52" s="1"/>
    </row>
    <row r="53">
      <c r="A53" s="23"/>
      <c r="B53" s="23"/>
      <c r="C53" s="24"/>
      <c r="D53" s="25"/>
      <c r="E53" s="24"/>
      <c r="F53" s="25"/>
      <c r="G53" s="1"/>
    </row>
    <row r="54">
      <c r="A54" s="23"/>
      <c r="B54" s="23"/>
      <c r="C54" s="24"/>
      <c r="D54" s="25"/>
      <c r="E54" s="24"/>
      <c r="F54" s="25"/>
      <c r="G54" s="1"/>
    </row>
    <row r="55">
      <c r="A55" s="23"/>
      <c r="B55" s="23"/>
      <c r="C55" s="24"/>
      <c r="D55" s="25"/>
      <c r="E55" s="24"/>
      <c r="F55" s="25"/>
      <c r="G55" s="1"/>
    </row>
    <row r="56">
      <c r="A56" s="23"/>
      <c r="B56" s="24"/>
      <c r="C56" s="24"/>
      <c r="D56" s="25"/>
      <c r="E56" s="24"/>
      <c r="F56" s="25"/>
      <c r="G56" s="1"/>
    </row>
    <row r="57">
      <c r="A57" s="1"/>
      <c r="B57" s="1"/>
      <c r="C57" s="1"/>
      <c r="D57" s="1"/>
      <c r="E57" s="1"/>
      <c r="F57" s="1"/>
      <c r="G57" s="1"/>
    </row>
    <row r="58">
      <c r="A58" s="23"/>
      <c r="B58" s="25"/>
      <c r="C58" s="26"/>
      <c r="D58" s="1"/>
      <c r="E58" s="1"/>
      <c r="F58" s="1"/>
      <c r="G58" s="1"/>
    </row>
    <row r="59">
      <c r="A59" s="23"/>
      <c r="B59" s="24"/>
      <c r="C59" s="1"/>
      <c r="D59" s="1"/>
      <c r="E59" s="1"/>
      <c r="F59" s="1"/>
      <c r="G59" s="1"/>
    </row>
    <row r="60">
      <c r="A60" s="1"/>
      <c r="B60" s="1"/>
      <c r="C60" s="1"/>
      <c r="D60" s="1"/>
      <c r="E60" s="1"/>
      <c r="F60" s="1"/>
      <c r="G60" s="1"/>
    </row>
    <row r="61">
      <c r="A61" s="27"/>
      <c r="F61" s="1"/>
      <c r="G61" s="1"/>
    </row>
    <row r="62">
      <c r="A62" s="21"/>
      <c r="B62" s="22"/>
      <c r="C62" s="22"/>
      <c r="D62" s="22"/>
      <c r="E62" s="22"/>
      <c r="F62" s="28"/>
      <c r="G62" s="1"/>
    </row>
    <row r="63">
      <c r="A63" s="23"/>
      <c r="B63" s="23"/>
      <c r="C63" s="24"/>
      <c r="D63" s="24"/>
      <c r="E63" s="25"/>
      <c r="F63" s="1"/>
      <c r="G63" s="1"/>
    </row>
    <row r="64">
      <c r="A64" s="23"/>
      <c r="B64" s="23"/>
      <c r="C64" s="24"/>
      <c r="D64" s="24"/>
      <c r="E64" s="25"/>
      <c r="F64" s="1"/>
      <c r="G64" s="1"/>
    </row>
    <row r="65">
      <c r="A65" s="23"/>
      <c r="B65" s="23"/>
      <c r="C65" s="24"/>
      <c r="D65" s="24"/>
      <c r="E65" s="25"/>
      <c r="F65" s="1"/>
      <c r="G65" s="1"/>
    </row>
    <row r="66">
      <c r="A66" s="23"/>
      <c r="B66" s="23"/>
      <c r="C66" s="24"/>
      <c r="D66" s="24"/>
      <c r="E66" s="25"/>
      <c r="F66" s="1"/>
      <c r="G66" s="1"/>
    </row>
    <row r="67">
      <c r="A67" s="23"/>
      <c r="B67" s="23"/>
      <c r="C67" s="24"/>
      <c r="D67" s="24"/>
      <c r="E67" s="25"/>
      <c r="F67" s="1"/>
      <c r="G67" s="1"/>
    </row>
    <row r="68">
      <c r="A68" s="23"/>
      <c r="B68" s="24"/>
      <c r="C68" s="24"/>
      <c r="D68" s="24"/>
      <c r="E68" s="25"/>
      <c r="F68" s="1"/>
      <c r="G68" s="1"/>
    </row>
  </sheetData>
  <mergeCells count="6">
    <mergeCell ref="A12:B12"/>
    <mergeCell ref="A13:B13"/>
    <mergeCell ref="A21:B21"/>
    <mergeCell ref="A41:G41"/>
    <mergeCell ref="A49:F49"/>
    <mergeCell ref="A61:E61"/>
  </mergeCells>
  <hyperlinks>
    <hyperlink r:id="rId1" ref="I1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9.38"/>
    <col customWidth="1" min="4" max="4" width="15.0"/>
    <col customWidth="1" min="5" max="5" width="14.25"/>
    <col customWidth="1" min="6" max="6" width="17.38"/>
    <col customWidth="1" min="7" max="7" width="21.25"/>
  </cols>
  <sheetData>
    <row r="1">
      <c r="A1" s="29" t="s">
        <v>34</v>
      </c>
      <c r="B1" s="30"/>
      <c r="C1" s="30"/>
      <c r="D1" s="30"/>
      <c r="E1" s="30"/>
      <c r="F1" s="30"/>
      <c r="G1" s="31"/>
    </row>
    <row r="2" ht="37.5" customHeight="1">
      <c r="A2" s="32" t="s">
        <v>0</v>
      </c>
      <c r="B2" s="33" t="s">
        <v>35</v>
      </c>
      <c r="C2" s="33" t="s">
        <v>36</v>
      </c>
      <c r="D2" s="33" t="s">
        <v>37</v>
      </c>
      <c r="E2" s="33" t="s">
        <v>38</v>
      </c>
      <c r="F2" s="33" t="s">
        <v>39</v>
      </c>
      <c r="G2" s="33" t="s">
        <v>40</v>
      </c>
    </row>
    <row r="3">
      <c r="A3" s="34" t="s">
        <v>41</v>
      </c>
      <c r="B3" s="35" t="s">
        <v>42</v>
      </c>
      <c r="C3" s="36">
        <v>13.0</v>
      </c>
      <c r="D3" s="36" t="s">
        <v>43</v>
      </c>
      <c r="E3" s="36">
        <v>50.0</v>
      </c>
      <c r="F3" s="36" t="s">
        <v>44</v>
      </c>
      <c r="G3" s="36" t="s">
        <v>45</v>
      </c>
    </row>
    <row r="4">
      <c r="A4" s="34" t="s">
        <v>46</v>
      </c>
      <c r="B4" s="35" t="s">
        <v>47</v>
      </c>
      <c r="C4" s="36">
        <v>25.0</v>
      </c>
      <c r="D4" s="36" t="s">
        <v>42</v>
      </c>
      <c r="E4" s="36">
        <v>50.0</v>
      </c>
      <c r="F4" s="36" t="s">
        <v>48</v>
      </c>
      <c r="G4" s="36" t="s">
        <v>45</v>
      </c>
    </row>
    <row r="5">
      <c r="A5" s="34" t="s">
        <v>49</v>
      </c>
      <c r="B5" s="35" t="s">
        <v>43</v>
      </c>
      <c r="C5" s="36">
        <v>75.0</v>
      </c>
      <c r="D5" s="36" t="s">
        <v>47</v>
      </c>
      <c r="E5" s="36">
        <v>50.0</v>
      </c>
      <c r="F5" s="36" t="s">
        <v>50</v>
      </c>
      <c r="G5" s="36" t="s">
        <v>45</v>
      </c>
    </row>
    <row r="6">
      <c r="A6" s="34" t="s">
        <v>51</v>
      </c>
      <c r="B6" s="35" t="s">
        <v>42</v>
      </c>
      <c r="C6" s="36">
        <v>90.0</v>
      </c>
      <c r="D6" s="36" t="s">
        <v>47</v>
      </c>
      <c r="E6" s="36">
        <v>30.0</v>
      </c>
      <c r="F6" s="36" t="s">
        <v>52</v>
      </c>
      <c r="G6" s="36" t="s">
        <v>45</v>
      </c>
    </row>
    <row r="7">
      <c r="A7" s="34" t="s">
        <v>53</v>
      </c>
      <c r="B7" s="35">
        <v>2.0</v>
      </c>
      <c r="C7" s="36">
        <v>50.0</v>
      </c>
      <c r="D7" s="36" t="s">
        <v>54</v>
      </c>
      <c r="E7" s="36">
        <v>30.0</v>
      </c>
      <c r="F7" s="36">
        <v>70.0</v>
      </c>
      <c r="G7" s="36" t="s">
        <v>55</v>
      </c>
    </row>
    <row r="8">
      <c r="A8" s="1"/>
      <c r="B8" s="1"/>
      <c r="C8" s="1"/>
      <c r="D8" s="1"/>
      <c r="E8" s="1"/>
      <c r="F8" s="1"/>
      <c r="G8" s="1"/>
    </row>
    <row r="9">
      <c r="A9" s="37" t="s">
        <v>56</v>
      </c>
      <c r="B9" s="38"/>
      <c r="C9" s="38"/>
      <c r="D9" s="38"/>
      <c r="E9" s="38"/>
      <c r="F9" s="39"/>
      <c r="G9" s="1"/>
    </row>
    <row r="10">
      <c r="A10" s="40" t="s">
        <v>0</v>
      </c>
      <c r="B10" s="41" t="s">
        <v>57</v>
      </c>
      <c r="C10" s="41" t="s">
        <v>58</v>
      </c>
      <c r="D10" s="41" t="s">
        <v>59</v>
      </c>
      <c r="E10" s="41" t="s">
        <v>60</v>
      </c>
      <c r="F10" s="41" t="s">
        <v>61</v>
      </c>
      <c r="G10" s="1"/>
    </row>
    <row r="11">
      <c r="A11" s="34" t="s">
        <v>41</v>
      </c>
      <c r="B11" s="35">
        <v>4000.0</v>
      </c>
      <c r="C11" s="36" t="s">
        <v>62</v>
      </c>
      <c r="D11" s="42" t="s">
        <v>63</v>
      </c>
      <c r="E11" s="36" t="s">
        <v>64</v>
      </c>
      <c r="F11" s="42" t="s">
        <v>65</v>
      </c>
      <c r="G11" s="1"/>
    </row>
    <row r="12">
      <c r="A12" s="34" t="s">
        <v>46</v>
      </c>
      <c r="B12" s="35">
        <v>5500.0</v>
      </c>
      <c r="C12" s="36" t="s">
        <v>66</v>
      </c>
      <c r="D12" s="42" t="s">
        <v>67</v>
      </c>
      <c r="E12" s="36" t="s">
        <v>68</v>
      </c>
      <c r="F12" s="42" t="s">
        <v>69</v>
      </c>
      <c r="G12" s="1"/>
    </row>
    <row r="13">
      <c r="A13" s="34" t="s">
        <v>49</v>
      </c>
      <c r="B13" s="35">
        <v>2500.0</v>
      </c>
      <c r="C13" s="36" t="s">
        <v>70</v>
      </c>
      <c r="D13" s="42" t="s">
        <v>71</v>
      </c>
      <c r="E13" s="36" t="s">
        <v>72</v>
      </c>
      <c r="F13" s="42" t="s">
        <v>73</v>
      </c>
      <c r="G13" s="1"/>
    </row>
    <row r="14">
      <c r="A14" s="34" t="s">
        <v>51</v>
      </c>
      <c r="B14" s="35">
        <v>8000.0</v>
      </c>
      <c r="C14" s="36" t="s">
        <v>74</v>
      </c>
      <c r="D14" s="42" t="s">
        <v>75</v>
      </c>
      <c r="E14" s="36" t="s">
        <v>76</v>
      </c>
      <c r="F14" s="42" t="s">
        <v>77</v>
      </c>
      <c r="G14" s="1"/>
    </row>
    <row r="15">
      <c r="A15" s="43" t="s">
        <v>53</v>
      </c>
      <c r="B15" s="44">
        <v>6000.0</v>
      </c>
      <c r="C15" s="45" t="s">
        <v>78</v>
      </c>
      <c r="D15" s="46" t="s">
        <v>79</v>
      </c>
      <c r="E15" s="45" t="s">
        <v>80</v>
      </c>
      <c r="F15" s="46" t="s">
        <v>81</v>
      </c>
      <c r="G15" s="1"/>
    </row>
    <row r="16">
      <c r="A16" s="47" t="s">
        <v>82</v>
      </c>
      <c r="B16" s="48">
        <v>26000.0</v>
      </c>
      <c r="C16" s="48" t="s">
        <v>83</v>
      </c>
      <c r="D16" s="49" t="s">
        <v>73</v>
      </c>
      <c r="E16" s="48" t="s">
        <v>84</v>
      </c>
      <c r="F16" s="50" t="s">
        <v>85</v>
      </c>
      <c r="G16" s="2" t="s">
        <v>86</v>
      </c>
    </row>
    <row r="17">
      <c r="A17" s="51"/>
      <c r="B17" s="1"/>
      <c r="C17" s="1"/>
      <c r="D17" s="1"/>
      <c r="E17" s="1"/>
      <c r="F17" s="52"/>
      <c r="G17" s="1"/>
    </row>
    <row r="18">
      <c r="A18" s="47" t="s">
        <v>87</v>
      </c>
      <c r="B18" s="53" t="s">
        <v>88</v>
      </c>
      <c r="C18" s="26"/>
      <c r="D18" s="1"/>
      <c r="E18" s="1"/>
      <c r="F18" s="52"/>
      <c r="G18" s="1"/>
    </row>
    <row r="19">
      <c r="A19" s="54" t="s">
        <v>89</v>
      </c>
      <c r="B19" s="55">
        <v>150.0</v>
      </c>
      <c r="C19" s="56"/>
      <c r="D19" s="56"/>
      <c r="E19" s="56"/>
      <c r="F19" s="57"/>
      <c r="G19" s="1"/>
    </row>
    <row r="20">
      <c r="A20" s="1"/>
      <c r="B20" s="1"/>
      <c r="C20" s="1"/>
      <c r="D20" s="1"/>
      <c r="E20" s="1"/>
      <c r="F20" s="1"/>
      <c r="G20" s="1"/>
    </row>
    <row r="21">
      <c r="A21" s="58" t="s">
        <v>90</v>
      </c>
      <c r="B21" s="30"/>
      <c r="C21" s="30"/>
      <c r="D21" s="30"/>
      <c r="E21" s="31"/>
      <c r="F21" s="1"/>
      <c r="G21" s="1"/>
    </row>
    <row r="22">
      <c r="A22" s="32" t="s">
        <v>0</v>
      </c>
      <c r="B22" s="33" t="s">
        <v>57</v>
      </c>
      <c r="C22" s="33" t="s">
        <v>58</v>
      </c>
      <c r="D22" s="33" t="s">
        <v>91</v>
      </c>
      <c r="E22" s="33" t="s">
        <v>92</v>
      </c>
      <c r="F22" s="28"/>
      <c r="G22" s="1"/>
    </row>
    <row r="23">
      <c r="A23" s="34" t="s">
        <v>41</v>
      </c>
      <c r="B23" s="35">
        <v>4000.0</v>
      </c>
      <c r="C23" s="36" t="s">
        <v>62</v>
      </c>
      <c r="D23" s="36" t="s">
        <v>93</v>
      </c>
      <c r="E23" s="42">
        <v>809.0</v>
      </c>
      <c r="F23" s="1"/>
      <c r="G23" s="1"/>
    </row>
    <row r="24">
      <c r="A24" s="34" t="s">
        <v>46</v>
      </c>
      <c r="B24" s="35">
        <v>5500.0</v>
      </c>
      <c r="C24" s="36" t="s">
        <v>66</v>
      </c>
      <c r="D24" s="36" t="s">
        <v>94</v>
      </c>
      <c r="E24" s="42">
        <v>597.0</v>
      </c>
      <c r="F24" s="1"/>
      <c r="G24" s="1"/>
    </row>
    <row r="25">
      <c r="A25" s="34" t="s">
        <v>49</v>
      </c>
      <c r="B25" s="35">
        <v>2500.0</v>
      </c>
      <c r="C25" s="36" t="s">
        <v>70</v>
      </c>
      <c r="D25" s="36" t="s">
        <v>95</v>
      </c>
      <c r="E25" s="42">
        <v>583.0</v>
      </c>
      <c r="F25" s="1"/>
      <c r="G25" s="1"/>
    </row>
    <row r="26">
      <c r="A26" s="34" t="s">
        <v>51</v>
      </c>
      <c r="B26" s="35">
        <v>8000.0</v>
      </c>
      <c r="C26" s="36" t="s">
        <v>74</v>
      </c>
      <c r="D26" s="36" t="s">
        <v>96</v>
      </c>
      <c r="E26" s="42">
        <v>2474.0</v>
      </c>
      <c r="F26" s="1"/>
      <c r="G26" s="1"/>
    </row>
    <row r="27">
      <c r="A27" s="43" t="s">
        <v>53</v>
      </c>
      <c r="B27" s="44">
        <v>6000.0</v>
      </c>
      <c r="C27" s="45" t="s">
        <v>78</v>
      </c>
      <c r="D27" s="36" t="s">
        <v>97</v>
      </c>
      <c r="E27" s="42">
        <v>390.0</v>
      </c>
      <c r="F27" s="1"/>
      <c r="G27" s="1"/>
    </row>
    <row r="28">
      <c r="A28" s="47" t="s">
        <v>82</v>
      </c>
      <c r="B28" s="48">
        <v>26000.0</v>
      </c>
      <c r="C28" s="48" t="s">
        <v>83</v>
      </c>
      <c r="D28" s="48" t="s">
        <v>98</v>
      </c>
      <c r="E28" s="59">
        <v>4853.0</v>
      </c>
      <c r="F28" s="1"/>
      <c r="G28" s="1"/>
    </row>
    <row r="29">
      <c r="A29" s="1"/>
      <c r="B29" s="1"/>
      <c r="C29" s="1"/>
      <c r="D29" s="1"/>
      <c r="E29" s="1"/>
      <c r="F29" s="1"/>
      <c r="G29" s="1"/>
    </row>
    <row r="30">
      <c r="A30" s="60" t="s">
        <v>99</v>
      </c>
      <c r="B30" s="39"/>
      <c r="C30" s="1"/>
      <c r="D30" s="1"/>
      <c r="E30" s="1"/>
      <c r="F30" s="1"/>
      <c r="G30" s="1"/>
    </row>
    <row r="31">
      <c r="A31" s="61" t="s">
        <v>100</v>
      </c>
      <c r="B31" s="62" t="s">
        <v>101</v>
      </c>
      <c r="C31" s="1"/>
      <c r="D31" s="1"/>
      <c r="E31" s="1"/>
      <c r="F31" s="1"/>
      <c r="G31" s="1"/>
    </row>
    <row r="32">
      <c r="A32" s="63" t="s">
        <v>102</v>
      </c>
      <c r="B32" s="64" t="s">
        <v>103</v>
      </c>
      <c r="C32" s="1"/>
      <c r="D32" s="1"/>
      <c r="E32" s="1"/>
      <c r="F32" s="1"/>
      <c r="G32" s="1"/>
    </row>
    <row r="33">
      <c r="A33" s="63" t="s">
        <v>104</v>
      </c>
      <c r="B33" s="64" t="s">
        <v>105</v>
      </c>
      <c r="C33" s="1"/>
      <c r="D33" s="1"/>
      <c r="E33" s="1"/>
      <c r="F33" s="1"/>
      <c r="G33" s="1"/>
    </row>
    <row r="34">
      <c r="A34" s="63" t="s">
        <v>106</v>
      </c>
      <c r="B34" s="64" t="s">
        <v>107</v>
      </c>
      <c r="C34" s="1"/>
      <c r="D34" s="1"/>
      <c r="E34" s="1"/>
      <c r="F34" s="1"/>
      <c r="G34" s="1"/>
    </row>
    <row r="35">
      <c r="A35" s="63" t="s">
        <v>108</v>
      </c>
      <c r="B35" s="64" t="s">
        <v>109</v>
      </c>
      <c r="C35" s="1"/>
      <c r="D35" s="1"/>
      <c r="E35" s="1"/>
      <c r="F35" s="1"/>
      <c r="G35" s="1"/>
    </row>
    <row r="36">
      <c r="A36" s="63" t="s">
        <v>110</v>
      </c>
      <c r="B36" s="65" t="s">
        <v>84</v>
      </c>
      <c r="C36" s="1"/>
      <c r="D36" s="1"/>
      <c r="E36" s="1"/>
      <c r="F36" s="1"/>
      <c r="G36" s="1"/>
    </row>
    <row r="37">
      <c r="A37" s="63" t="s">
        <v>111</v>
      </c>
      <c r="B37" s="64" t="s">
        <v>112</v>
      </c>
      <c r="C37" s="1"/>
      <c r="D37" s="1"/>
      <c r="E37" s="1"/>
      <c r="F37" s="1"/>
      <c r="G37" s="1"/>
    </row>
    <row r="38">
      <c r="A38" s="63" t="s">
        <v>113</v>
      </c>
      <c r="B38" s="66">
        <v>1536375.0</v>
      </c>
      <c r="C38" s="1"/>
      <c r="D38" s="1"/>
      <c r="E38" s="1"/>
      <c r="F38" s="1"/>
      <c r="G38" s="1"/>
    </row>
    <row r="39">
      <c r="A39" s="67" t="s">
        <v>114</v>
      </c>
      <c r="B39" s="68">
        <v>8.0</v>
      </c>
      <c r="C39" s="1"/>
      <c r="D39" s="1"/>
      <c r="E39" s="1"/>
      <c r="F39" s="1"/>
      <c r="G39" s="1"/>
    </row>
    <row r="40">
      <c r="A40" s="63" t="s">
        <v>115</v>
      </c>
      <c r="B40" s="69">
        <v>128.0</v>
      </c>
      <c r="C40" s="1"/>
      <c r="D40" s="1"/>
      <c r="E40" s="1"/>
      <c r="F40" s="1"/>
      <c r="G40" s="1"/>
    </row>
  </sheetData>
  <mergeCells count="4">
    <mergeCell ref="A1:G1"/>
    <mergeCell ref="A9:F9"/>
    <mergeCell ref="A21:E21"/>
    <mergeCell ref="A30:B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13"/>
    <col customWidth="1" min="2" max="2" width="62.13"/>
  </cols>
  <sheetData>
    <row r="1">
      <c r="A1" s="70" t="s">
        <v>99</v>
      </c>
      <c r="B1" s="31"/>
    </row>
    <row r="2">
      <c r="A2" s="71" t="s">
        <v>116</v>
      </c>
      <c r="B2" s="31"/>
    </row>
    <row r="3">
      <c r="A3" s="72" t="s">
        <v>117</v>
      </c>
      <c r="B3" s="73" t="s">
        <v>101</v>
      </c>
    </row>
    <row r="4">
      <c r="A4" s="74" t="s">
        <v>102</v>
      </c>
      <c r="B4" s="75" t="s">
        <v>103</v>
      </c>
    </row>
    <row r="5">
      <c r="A5" s="74" t="s">
        <v>104</v>
      </c>
      <c r="B5" s="76" t="s">
        <v>118</v>
      </c>
    </row>
    <row r="6">
      <c r="A6" s="74" t="s">
        <v>119</v>
      </c>
      <c r="B6" s="75" t="s">
        <v>107</v>
      </c>
    </row>
    <row r="7">
      <c r="A7" s="74" t="s">
        <v>120</v>
      </c>
      <c r="B7" s="75" t="s">
        <v>121</v>
      </c>
    </row>
    <row r="8">
      <c r="A8" s="74" t="s">
        <v>122</v>
      </c>
      <c r="B8" s="76" t="s">
        <v>123</v>
      </c>
    </row>
    <row r="9">
      <c r="A9" s="74" t="s">
        <v>124</v>
      </c>
      <c r="B9" s="76" t="s">
        <v>125</v>
      </c>
    </row>
    <row r="10">
      <c r="A10" s="74" t="s">
        <v>126</v>
      </c>
      <c r="B10" s="76" t="s">
        <v>127</v>
      </c>
    </row>
    <row r="11">
      <c r="A11" s="77" t="s">
        <v>128</v>
      </c>
      <c r="B11" s="31"/>
    </row>
    <row r="12">
      <c r="A12" s="78" t="s">
        <v>129</v>
      </c>
      <c r="B12" s="79" t="s">
        <v>84</v>
      </c>
    </row>
    <row r="13">
      <c r="A13" s="78" t="s">
        <v>130</v>
      </c>
      <c r="B13" s="80" t="s">
        <v>73</v>
      </c>
    </row>
    <row r="14">
      <c r="A14" s="78" t="s">
        <v>131</v>
      </c>
      <c r="B14" s="80" t="s">
        <v>83</v>
      </c>
    </row>
    <row r="15">
      <c r="A15" s="81" t="s">
        <v>132</v>
      </c>
      <c r="B15" s="82" t="s">
        <v>62</v>
      </c>
    </row>
    <row r="16">
      <c r="A16" s="81" t="s">
        <v>133</v>
      </c>
      <c r="B16" s="82" t="s">
        <v>66</v>
      </c>
    </row>
    <row r="17">
      <c r="A17" s="81" t="s">
        <v>134</v>
      </c>
      <c r="B17" s="82" t="s">
        <v>70</v>
      </c>
    </row>
    <row r="18">
      <c r="A18" s="81" t="s">
        <v>135</v>
      </c>
      <c r="B18" s="82" t="s">
        <v>74</v>
      </c>
    </row>
    <row r="19">
      <c r="A19" s="81" t="s">
        <v>136</v>
      </c>
      <c r="B19" s="83" t="s">
        <v>78</v>
      </c>
    </row>
    <row r="20">
      <c r="A20" s="84" t="s">
        <v>137</v>
      </c>
      <c r="B20" s="80">
        <v>8.0</v>
      </c>
    </row>
    <row r="21">
      <c r="A21" s="85" t="s">
        <v>113</v>
      </c>
      <c r="B21" s="80" t="s">
        <v>138</v>
      </c>
    </row>
    <row r="22">
      <c r="A22" s="84" t="s">
        <v>139</v>
      </c>
      <c r="B22" s="86">
        <v>8.0</v>
      </c>
    </row>
    <row r="23">
      <c r="A23" s="84" t="s">
        <v>140</v>
      </c>
      <c r="B23" s="87">
        <v>1.0</v>
      </c>
    </row>
    <row r="24">
      <c r="A24" s="81" t="s">
        <v>132</v>
      </c>
      <c r="B24" s="82" t="s">
        <v>141</v>
      </c>
    </row>
    <row r="25">
      <c r="A25" s="81" t="s">
        <v>133</v>
      </c>
      <c r="B25" s="82" t="s">
        <v>142</v>
      </c>
    </row>
    <row r="26">
      <c r="A26" s="81" t="s">
        <v>134</v>
      </c>
      <c r="B26" s="82" t="s">
        <v>143</v>
      </c>
    </row>
    <row r="27">
      <c r="A27" s="81" t="s">
        <v>135</v>
      </c>
      <c r="B27" s="82" t="s">
        <v>144</v>
      </c>
    </row>
    <row r="28">
      <c r="A28" s="81" t="s">
        <v>136</v>
      </c>
      <c r="B28" s="82" t="s">
        <v>145</v>
      </c>
    </row>
    <row r="29">
      <c r="A29" s="77" t="s">
        <v>146</v>
      </c>
      <c r="B29" s="31"/>
    </row>
    <row r="30">
      <c r="A30" s="88" t="s">
        <v>147</v>
      </c>
      <c r="B30" s="76">
        <v>1.0</v>
      </c>
    </row>
    <row r="31">
      <c r="A31" s="88" t="s">
        <v>148</v>
      </c>
      <c r="B31" s="89">
        <f>B22*B30</f>
        <v>8</v>
      </c>
    </row>
  </sheetData>
  <mergeCells count="4">
    <mergeCell ref="A1:B1"/>
    <mergeCell ref="A2:B2"/>
    <mergeCell ref="A11:B11"/>
    <mergeCell ref="A29:B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2" max="2" width="41.13"/>
  </cols>
  <sheetData>
    <row r="1">
      <c r="A1" s="90" t="s">
        <v>149</v>
      </c>
      <c r="B1" s="91"/>
      <c r="C1" s="18" t="s">
        <v>150</v>
      </c>
    </row>
    <row r="2">
      <c r="A2" s="92" t="s">
        <v>151</v>
      </c>
      <c r="B2" s="39"/>
    </row>
    <row r="3">
      <c r="A3" s="71" t="s">
        <v>116</v>
      </c>
      <c r="B3" s="31"/>
    </row>
    <row r="4">
      <c r="A4" s="93" t="s">
        <v>152</v>
      </c>
      <c r="B4" s="94" t="s">
        <v>153</v>
      </c>
    </row>
    <row r="5">
      <c r="A5" s="95" t="s">
        <v>154</v>
      </c>
      <c r="B5" s="49" t="s">
        <v>155</v>
      </c>
    </row>
    <row r="6">
      <c r="A6" s="96" t="s">
        <v>119</v>
      </c>
      <c r="B6" s="97" t="s">
        <v>156</v>
      </c>
    </row>
    <row r="7">
      <c r="A7" s="98"/>
      <c r="B7" s="97" t="s">
        <v>157</v>
      </c>
    </row>
    <row r="8">
      <c r="A8" s="95" t="s">
        <v>158</v>
      </c>
      <c r="B8" s="97" t="s">
        <v>159</v>
      </c>
    </row>
    <row r="9">
      <c r="A9" s="96" t="s">
        <v>122</v>
      </c>
      <c r="B9" s="97" t="s">
        <v>160</v>
      </c>
    </row>
    <row r="10">
      <c r="A10" s="96" t="s">
        <v>124</v>
      </c>
      <c r="B10" s="97" t="s">
        <v>161</v>
      </c>
    </row>
    <row r="11">
      <c r="A11" s="96" t="s">
        <v>126</v>
      </c>
      <c r="B11" s="97" t="s">
        <v>162</v>
      </c>
    </row>
    <row r="12">
      <c r="A12" s="95" t="s">
        <v>163</v>
      </c>
      <c r="B12" s="97">
        <v>10.0</v>
      </c>
    </row>
    <row r="13">
      <c r="A13" s="99" t="s">
        <v>128</v>
      </c>
      <c r="B13" s="100"/>
    </row>
    <row r="14">
      <c r="A14" s="101" t="s">
        <v>129</v>
      </c>
      <c r="B14" s="102">
        <v>118.18</v>
      </c>
    </row>
    <row r="15">
      <c r="A15" s="103" t="s">
        <v>131</v>
      </c>
      <c r="B15" s="80">
        <f>B14</f>
        <v>118.18</v>
      </c>
    </row>
    <row r="16">
      <c r="A16" s="104" t="s">
        <v>132</v>
      </c>
      <c r="B16" s="105">
        <v>18.036</v>
      </c>
    </row>
    <row r="17">
      <c r="A17" s="104" t="s">
        <v>133</v>
      </c>
      <c r="B17" s="105">
        <v>25.2504</v>
      </c>
    </row>
    <row r="18">
      <c r="A18" s="104" t="s">
        <v>134</v>
      </c>
      <c r="B18" s="105">
        <v>12.024</v>
      </c>
    </row>
    <row r="19">
      <c r="A19" s="104" t="s">
        <v>135</v>
      </c>
      <c r="B19" s="105">
        <v>37.2744</v>
      </c>
    </row>
    <row r="20">
      <c r="A20" s="104" t="s">
        <v>136</v>
      </c>
      <c r="B20" s="105">
        <v>27.6552</v>
      </c>
    </row>
    <row r="21">
      <c r="A21" s="106" t="s">
        <v>137</v>
      </c>
      <c r="B21" s="36">
        <v>8.0</v>
      </c>
    </row>
    <row r="22">
      <c r="A22" s="106" t="s">
        <v>164</v>
      </c>
      <c r="B22" s="36">
        <f>B15/B21</f>
        <v>14.7725</v>
      </c>
    </row>
    <row r="23">
      <c r="A23" s="107" t="s">
        <v>165</v>
      </c>
      <c r="B23" s="36">
        <f>ROUNDUP(B22/2)</f>
        <v>8</v>
      </c>
    </row>
    <row r="24">
      <c r="A24" s="77" t="s">
        <v>146</v>
      </c>
      <c r="B24" s="31"/>
    </row>
    <row r="25">
      <c r="A25" s="108" t="s">
        <v>166</v>
      </c>
      <c r="B25" s="97">
        <v>2.0</v>
      </c>
    </row>
  </sheetData>
  <mergeCells count="4">
    <mergeCell ref="A2:B2"/>
    <mergeCell ref="A3:B3"/>
    <mergeCell ref="A13:B13"/>
    <mergeCell ref="A24:B24"/>
  </mergeCells>
  <hyperlinks>
    <hyperlink r:id="rId1" ref="A1"/>
    <hyperlink r:id="rId2" ref="C1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1.75"/>
    <col customWidth="1" min="3" max="3" width="36.0"/>
    <col customWidth="1" min="4" max="4" width="34.0"/>
    <col customWidth="1" min="5" max="5" width="21.88"/>
    <col customWidth="1" min="6" max="6" width="31.63"/>
  </cols>
  <sheetData>
    <row r="1">
      <c r="A1" s="109" t="s">
        <v>167</v>
      </c>
      <c r="B1" s="30"/>
      <c r="C1" s="30"/>
      <c r="D1" s="30"/>
      <c r="E1" s="30"/>
      <c r="F1" s="31"/>
    </row>
    <row r="2">
      <c r="A2" s="110" t="s">
        <v>168</v>
      </c>
      <c r="B2" s="30"/>
      <c r="C2" s="30"/>
      <c r="D2" s="30"/>
      <c r="E2" s="30"/>
      <c r="F2" s="31"/>
    </row>
    <row r="3">
      <c r="A3" s="110" t="s">
        <v>122</v>
      </c>
      <c r="B3" s="30"/>
      <c r="C3" s="31"/>
      <c r="D3" s="111" t="s">
        <v>169</v>
      </c>
      <c r="E3" s="30"/>
      <c r="F3" s="31"/>
    </row>
    <row r="4">
      <c r="A4" s="110" t="s">
        <v>124</v>
      </c>
      <c r="B4" s="30"/>
      <c r="C4" s="31"/>
      <c r="D4" s="111" t="s">
        <v>170</v>
      </c>
      <c r="E4" s="30"/>
      <c r="F4" s="31"/>
    </row>
    <row r="5">
      <c r="A5" s="110" t="s">
        <v>126</v>
      </c>
      <c r="B5" s="30"/>
      <c r="C5" s="31"/>
      <c r="D5" s="111" t="s">
        <v>171</v>
      </c>
      <c r="E5" s="30"/>
      <c r="F5" s="31"/>
    </row>
    <row r="6">
      <c r="A6" s="71" t="s">
        <v>116</v>
      </c>
      <c r="B6" s="30"/>
      <c r="C6" s="30"/>
      <c r="D6" s="30"/>
      <c r="E6" s="30"/>
      <c r="F6" s="31"/>
    </row>
    <row r="7">
      <c r="A7" s="112"/>
      <c r="B7" s="113" t="s">
        <v>37</v>
      </c>
      <c r="C7" s="114" t="s">
        <v>172</v>
      </c>
      <c r="D7" s="113" t="s">
        <v>173</v>
      </c>
      <c r="E7" s="113" t="s">
        <v>174</v>
      </c>
      <c r="F7" s="113" t="s">
        <v>175</v>
      </c>
    </row>
    <row r="8">
      <c r="A8" s="115" t="s">
        <v>176</v>
      </c>
      <c r="B8" s="116" t="s">
        <v>177</v>
      </c>
      <c r="C8" s="117" t="s">
        <v>178</v>
      </c>
      <c r="D8" s="117" t="s">
        <v>179</v>
      </c>
      <c r="E8" s="117" t="s">
        <v>180</v>
      </c>
      <c r="F8" s="117" t="s">
        <v>181</v>
      </c>
    </row>
    <row r="9">
      <c r="A9" s="81" t="s">
        <v>41</v>
      </c>
      <c r="B9" s="80" t="s">
        <v>43</v>
      </c>
      <c r="C9" s="87">
        <v>13.0</v>
      </c>
      <c r="D9" s="118" t="s">
        <v>42</v>
      </c>
      <c r="E9" s="87" t="s">
        <v>182</v>
      </c>
      <c r="F9" s="75">
        <v>1920.0</v>
      </c>
    </row>
    <row r="10">
      <c r="A10" s="81" t="s">
        <v>46</v>
      </c>
      <c r="B10" s="80" t="s">
        <v>42</v>
      </c>
      <c r="C10" s="87">
        <v>25.0</v>
      </c>
      <c r="D10" s="118" t="s">
        <v>47</v>
      </c>
      <c r="E10" s="87" t="s">
        <v>183</v>
      </c>
      <c r="F10" s="75">
        <v>3040.0</v>
      </c>
    </row>
    <row r="11">
      <c r="A11" s="81" t="s">
        <v>49</v>
      </c>
      <c r="B11" s="80" t="s">
        <v>47</v>
      </c>
      <c r="C11" s="87">
        <v>75.0</v>
      </c>
      <c r="D11" s="118" t="s">
        <v>43</v>
      </c>
      <c r="E11" s="87">
        <v>180.0</v>
      </c>
      <c r="F11" s="75">
        <v>5760.0</v>
      </c>
    </row>
    <row r="12">
      <c r="A12" s="81" t="s">
        <v>51</v>
      </c>
      <c r="B12" s="80" t="s">
        <v>47</v>
      </c>
      <c r="C12" s="87">
        <v>90.0</v>
      </c>
      <c r="D12" s="118" t="s">
        <v>42</v>
      </c>
      <c r="E12" s="87">
        <v>180.0</v>
      </c>
      <c r="F12" s="75">
        <v>5760.0</v>
      </c>
    </row>
    <row r="13">
      <c r="A13" s="71" t="s">
        <v>128</v>
      </c>
      <c r="B13" s="30"/>
      <c r="C13" s="30"/>
      <c r="D13" s="30"/>
      <c r="E13" s="30"/>
      <c r="F13" s="31"/>
    </row>
    <row r="14">
      <c r="A14" s="112"/>
      <c r="B14" s="119" t="s">
        <v>184</v>
      </c>
      <c r="C14" s="114" t="s">
        <v>185</v>
      </c>
      <c r="D14" s="40" t="s">
        <v>186</v>
      </c>
      <c r="E14" s="119" t="s">
        <v>187</v>
      </c>
      <c r="F14" s="119" t="s">
        <v>188</v>
      </c>
    </row>
    <row r="15">
      <c r="A15" s="81" t="s">
        <v>41</v>
      </c>
      <c r="B15" s="120">
        <v>50.0</v>
      </c>
      <c r="C15" s="80">
        <v>809.0</v>
      </c>
      <c r="D15" s="80">
        <v>40450.0</v>
      </c>
      <c r="E15" s="80">
        <v>22.0</v>
      </c>
      <c r="F15" s="80">
        <v>844.0</v>
      </c>
    </row>
    <row r="16">
      <c r="A16" s="81" t="s">
        <v>46</v>
      </c>
      <c r="B16" s="120">
        <v>50.0</v>
      </c>
      <c r="C16" s="80">
        <v>597.0</v>
      </c>
      <c r="D16" s="80">
        <v>29850.0</v>
      </c>
      <c r="E16" s="80">
        <v>10.0</v>
      </c>
      <c r="F16" s="80">
        <v>608.0</v>
      </c>
    </row>
    <row r="17">
      <c r="A17" s="81" t="s">
        <v>49</v>
      </c>
      <c r="B17" s="120">
        <v>50.0</v>
      </c>
      <c r="C17" s="80">
        <v>583.0</v>
      </c>
      <c r="D17" s="80">
        <v>29150.0</v>
      </c>
      <c r="E17" s="80">
        <v>6.0</v>
      </c>
      <c r="F17" s="80">
        <v>691.0</v>
      </c>
    </row>
    <row r="18">
      <c r="A18" s="81" t="s">
        <v>51</v>
      </c>
      <c r="B18" s="120">
        <v>30.0</v>
      </c>
      <c r="C18" s="80">
        <v>2474.0</v>
      </c>
      <c r="D18" s="80">
        <v>74220.0</v>
      </c>
      <c r="E18" s="80">
        <v>13.0</v>
      </c>
      <c r="F18" s="80">
        <v>2496.0</v>
      </c>
    </row>
    <row r="19">
      <c r="A19" s="71" t="s">
        <v>146</v>
      </c>
      <c r="B19" s="30"/>
      <c r="C19" s="30"/>
      <c r="D19" s="30"/>
      <c r="E19" s="30"/>
      <c r="F19" s="31"/>
    </row>
    <row r="20">
      <c r="A20" s="121"/>
      <c r="B20" s="40" t="s">
        <v>189</v>
      </c>
      <c r="C20" s="122" t="s">
        <v>147</v>
      </c>
      <c r="D20" s="31"/>
      <c r="E20" s="123" t="s">
        <v>148</v>
      </c>
      <c r="F20" s="31"/>
    </row>
    <row r="21">
      <c r="A21" s="81" t="s">
        <v>41</v>
      </c>
      <c r="B21" s="80">
        <v>22.0</v>
      </c>
      <c r="C21" s="124">
        <v>1.0</v>
      </c>
      <c r="D21" s="31"/>
      <c r="E21" s="125">
        <f t="shared" ref="E21:E24" si="1">C21*B21</f>
        <v>22</v>
      </c>
      <c r="F21" s="31"/>
    </row>
    <row r="22">
      <c r="A22" s="81" t="s">
        <v>46</v>
      </c>
      <c r="B22" s="80">
        <v>10.0</v>
      </c>
      <c r="C22" s="124">
        <v>1.0</v>
      </c>
      <c r="D22" s="31"/>
      <c r="E22" s="125">
        <f t="shared" si="1"/>
        <v>10</v>
      </c>
      <c r="F22" s="31"/>
    </row>
    <row r="23">
      <c r="A23" s="81" t="s">
        <v>49</v>
      </c>
      <c r="B23" s="87">
        <v>6.0</v>
      </c>
      <c r="C23" s="124">
        <v>1.0</v>
      </c>
      <c r="D23" s="31"/>
      <c r="E23" s="125">
        <f t="shared" si="1"/>
        <v>6</v>
      </c>
      <c r="F23" s="31"/>
    </row>
    <row r="24">
      <c r="A24" s="81" t="s">
        <v>51</v>
      </c>
      <c r="B24" s="87">
        <v>13.0</v>
      </c>
      <c r="C24" s="124">
        <v>1.0</v>
      </c>
      <c r="D24" s="31"/>
      <c r="E24" s="125">
        <f t="shared" si="1"/>
        <v>13</v>
      </c>
      <c r="F24" s="31"/>
    </row>
    <row r="25">
      <c r="A25" s="126" t="s">
        <v>190</v>
      </c>
      <c r="B25" s="30"/>
      <c r="C25" s="30"/>
      <c r="D25" s="31"/>
      <c r="E25" s="123">
        <f>SUM(E21:E24)</f>
        <v>51</v>
      </c>
      <c r="F25" s="31"/>
    </row>
  </sheetData>
  <mergeCells count="23">
    <mergeCell ref="A1:F1"/>
    <mergeCell ref="A2:F2"/>
    <mergeCell ref="A3:C3"/>
    <mergeCell ref="D3:F3"/>
    <mergeCell ref="A4:C4"/>
    <mergeCell ref="D4:F4"/>
    <mergeCell ref="A5:C5"/>
    <mergeCell ref="D5:F5"/>
    <mergeCell ref="A6:F6"/>
    <mergeCell ref="A13:F13"/>
    <mergeCell ref="A19:F19"/>
    <mergeCell ref="C20:D20"/>
    <mergeCell ref="E20:F20"/>
    <mergeCell ref="E21:F21"/>
    <mergeCell ref="A25:D25"/>
    <mergeCell ref="E25:F25"/>
    <mergeCell ref="C21:D21"/>
    <mergeCell ref="C22:D22"/>
    <mergeCell ref="E22:F22"/>
    <mergeCell ref="C23:D23"/>
    <mergeCell ref="E23:F23"/>
    <mergeCell ref="C24:D24"/>
    <mergeCell ref="E24:F2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30.75"/>
    <col customWidth="1" min="3" max="4" width="26.63"/>
    <col customWidth="1" min="5" max="5" width="24.13"/>
    <col customWidth="1" min="6" max="6" width="27.13"/>
  </cols>
  <sheetData>
    <row r="1">
      <c r="A1" s="127" t="s">
        <v>191</v>
      </c>
    </row>
    <row r="2">
      <c r="A2" s="128" t="s">
        <v>192</v>
      </c>
      <c r="B2" s="30"/>
      <c r="C2" s="30"/>
      <c r="D2" s="30"/>
      <c r="E2" s="30"/>
      <c r="F2" s="31"/>
    </row>
    <row r="3">
      <c r="A3" s="129" t="s">
        <v>193</v>
      </c>
      <c r="B3" s="38"/>
      <c r="C3" s="38"/>
      <c r="D3" s="38"/>
      <c r="E3" s="38"/>
      <c r="F3" s="39"/>
    </row>
    <row r="4">
      <c r="A4" s="110" t="s">
        <v>122</v>
      </c>
      <c r="B4" s="30"/>
      <c r="C4" s="31"/>
      <c r="D4" s="130" t="s">
        <v>194</v>
      </c>
      <c r="E4" s="30"/>
      <c r="F4" s="31"/>
    </row>
    <row r="5">
      <c r="A5" s="110" t="s">
        <v>124</v>
      </c>
      <c r="B5" s="30"/>
      <c r="C5" s="31"/>
      <c r="D5" s="130" t="s">
        <v>195</v>
      </c>
      <c r="E5" s="30"/>
      <c r="F5" s="31"/>
    </row>
    <row r="6">
      <c r="A6" s="110" t="s">
        <v>126</v>
      </c>
      <c r="B6" s="30"/>
      <c r="C6" s="31"/>
      <c r="D6" s="130" t="s">
        <v>196</v>
      </c>
      <c r="E6" s="30"/>
      <c r="F6" s="31"/>
    </row>
    <row r="7">
      <c r="A7" s="131" t="s">
        <v>116</v>
      </c>
      <c r="B7" s="132"/>
      <c r="C7" s="132"/>
      <c r="D7" s="132"/>
      <c r="E7" s="132"/>
      <c r="F7" s="100"/>
    </row>
    <row r="8">
      <c r="A8" s="133"/>
      <c r="B8" s="134" t="s">
        <v>37</v>
      </c>
      <c r="C8" s="135" t="s">
        <v>172</v>
      </c>
      <c r="D8" s="134" t="s">
        <v>173</v>
      </c>
      <c r="E8" s="134" t="s">
        <v>197</v>
      </c>
      <c r="F8" s="134" t="s">
        <v>175</v>
      </c>
    </row>
    <row r="9">
      <c r="A9" s="136" t="s">
        <v>176</v>
      </c>
      <c r="B9" s="137" t="s">
        <v>198</v>
      </c>
      <c r="C9" s="138" t="s">
        <v>199</v>
      </c>
      <c r="D9" s="138">
        <v>2.0</v>
      </c>
      <c r="E9" s="138">
        <v>180.0</v>
      </c>
      <c r="F9" s="138" t="s">
        <v>200</v>
      </c>
    </row>
    <row r="10">
      <c r="A10" s="139" t="s">
        <v>53</v>
      </c>
      <c r="B10" s="102">
        <v>2.5</v>
      </c>
      <c r="C10" s="102">
        <v>50.0</v>
      </c>
      <c r="D10" s="140">
        <v>2.0</v>
      </c>
      <c r="E10" s="102">
        <v>180.0</v>
      </c>
      <c r="F10" s="42">
        <f>180*8</f>
        <v>1440</v>
      </c>
    </row>
    <row r="11">
      <c r="A11" s="71" t="s">
        <v>128</v>
      </c>
      <c r="B11" s="30"/>
      <c r="C11" s="30"/>
      <c r="D11" s="30"/>
      <c r="E11" s="30"/>
      <c r="F11" s="31"/>
    </row>
    <row r="12">
      <c r="A12" s="133"/>
      <c r="B12" s="33" t="s">
        <v>184</v>
      </c>
      <c r="C12" s="135" t="s">
        <v>185</v>
      </c>
      <c r="D12" s="141" t="s">
        <v>186</v>
      </c>
      <c r="E12" s="33" t="s">
        <v>187</v>
      </c>
      <c r="F12" s="33" t="s">
        <v>188</v>
      </c>
    </row>
    <row r="13">
      <c r="A13" s="139" t="s">
        <v>53</v>
      </c>
      <c r="B13" s="142">
        <v>30.0</v>
      </c>
      <c r="C13" s="102">
        <v>390.0</v>
      </c>
      <c r="D13" s="36">
        <f>C13*B13</f>
        <v>11700</v>
      </c>
      <c r="E13" s="36">
        <f>roundup(D13/F10,0)</f>
        <v>9</v>
      </c>
      <c r="F13" s="36">
        <f>(E13*F10)/B13</f>
        <v>432</v>
      </c>
    </row>
    <row r="14">
      <c r="A14" s="71" t="s">
        <v>146</v>
      </c>
      <c r="B14" s="30"/>
      <c r="C14" s="30"/>
      <c r="D14" s="30"/>
      <c r="E14" s="30"/>
      <c r="F14" s="31"/>
    </row>
    <row r="15">
      <c r="A15" s="98"/>
      <c r="B15" s="141" t="s">
        <v>189</v>
      </c>
      <c r="C15" s="143" t="s">
        <v>147</v>
      </c>
      <c r="D15" s="31"/>
      <c r="E15" s="144" t="s">
        <v>148</v>
      </c>
      <c r="F15" s="31"/>
    </row>
    <row r="16">
      <c r="A16" s="139" t="s">
        <v>53</v>
      </c>
      <c r="B16" s="102">
        <v>9.0</v>
      </c>
      <c r="C16" s="130">
        <v>1.0</v>
      </c>
      <c r="D16" s="31"/>
      <c r="E16" s="145">
        <f>C16*B16</f>
        <v>9</v>
      </c>
      <c r="F16" s="31"/>
    </row>
    <row r="17">
      <c r="A17" s="126" t="s">
        <v>190</v>
      </c>
      <c r="B17" s="30"/>
      <c r="C17" s="30"/>
      <c r="D17" s="31"/>
      <c r="E17" s="143">
        <f>E16</f>
        <v>9</v>
      </c>
      <c r="F17" s="31"/>
    </row>
    <row r="19">
      <c r="A19" s="146"/>
    </row>
    <row r="20">
      <c r="A20" s="147"/>
    </row>
    <row r="21">
      <c r="A21" s="148"/>
      <c r="D21" s="147"/>
    </row>
    <row r="22">
      <c r="A22" s="148"/>
      <c r="D22" s="147"/>
    </row>
    <row r="23">
      <c r="A23" s="148"/>
      <c r="D23" s="147"/>
    </row>
    <row r="24">
      <c r="A24" s="149"/>
    </row>
    <row r="25">
      <c r="A25" s="150"/>
      <c r="B25" s="149"/>
      <c r="C25" s="151"/>
      <c r="D25" s="149"/>
      <c r="E25" s="152"/>
      <c r="F25" s="152"/>
    </row>
    <row r="26">
      <c r="A26" s="153"/>
      <c r="B26" s="154"/>
      <c r="C26" s="155"/>
      <c r="D26" s="155"/>
      <c r="E26" s="155"/>
      <c r="F26" s="155"/>
    </row>
    <row r="27">
      <c r="A27" s="156"/>
      <c r="B27" s="157"/>
      <c r="C27" s="157"/>
      <c r="D27" s="158"/>
      <c r="E27" s="157"/>
      <c r="F27" s="159"/>
    </row>
    <row r="28">
      <c r="A28" s="149"/>
    </row>
    <row r="29">
      <c r="A29" s="150"/>
      <c r="B29" s="151"/>
      <c r="C29" s="151"/>
      <c r="D29" s="149"/>
      <c r="E29" s="151"/>
      <c r="F29" s="151"/>
    </row>
    <row r="30">
      <c r="A30" s="156"/>
      <c r="B30" s="160"/>
      <c r="C30" s="157"/>
      <c r="D30" s="161"/>
      <c r="E30" s="161"/>
      <c r="F30" s="161"/>
    </row>
    <row r="31">
      <c r="A31" s="149"/>
    </row>
    <row r="32">
      <c r="A32" s="162"/>
      <c r="B32" s="149"/>
      <c r="C32" s="152"/>
      <c r="E32" s="149"/>
    </row>
    <row r="33">
      <c r="A33" s="156"/>
      <c r="B33" s="157"/>
      <c r="C33" s="147"/>
      <c r="E33" s="157"/>
    </row>
    <row r="34">
      <c r="A34" s="163"/>
      <c r="E34" s="152"/>
    </row>
  </sheetData>
  <mergeCells count="34">
    <mergeCell ref="A2:F2"/>
    <mergeCell ref="A3:F3"/>
    <mergeCell ref="A4:C4"/>
    <mergeCell ref="D4:F4"/>
    <mergeCell ref="A5:C5"/>
    <mergeCell ref="D5:F5"/>
    <mergeCell ref="A6:C6"/>
    <mergeCell ref="D6:F6"/>
    <mergeCell ref="A7:F7"/>
    <mergeCell ref="A11:F11"/>
    <mergeCell ref="A14:F14"/>
    <mergeCell ref="C15:D15"/>
    <mergeCell ref="E15:F15"/>
    <mergeCell ref="E16:F16"/>
    <mergeCell ref="C16:D16"/>
    <mergeCell ref="A17:D17"/>
    <mergeCell ref="E17:F17"/>
    <mergeCell ref="A19:F19"/>
    <mergeCell ref="A20:F20"/>
    <mergeCell ref="A21:C21"/>
    <mergeCell ref="D21:F21"/>
    <mergeCell ref="C32:D32"/>
    <mergeCell ref="E32:F32"/>
    <mergeCell ref="C33:D33"/>
    <mergeCell ref="E33:F33"/>
    <mergeCell ref="A34:D34"/>
    <mergeCell ref="E34:F34"/>
    <mergeCell ref="A22:C22"/>
    <mergeCell ref="D22:F22"/>
    <mergeCell ref="A23:C23"/>
    <mergeCell ref="D23:F23"/>
    <mergeCell ref="A24:F24"/>
    <mergeCell ref="A28:F28"/>
    <mergeCell ref="A31:F31"/>
  </mergeCells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49.13"/>
    <col customWidth="1" min="3" max="3" width="30.88"/>
    <col customWidth="1" min="4" max="5" width="26.38"/>
    <col customWidth="1" min="6" max="6" width="27.38"/>
  </cols>
  <sheetData>
    <row r="1">
      <c r="A1" s="164" t="s">
        <v>201</v>
      </c>
      <c r="B1" s="30"/>
      <c r="C1" s="30"/>
      <c r="D1" s="30"/>
      <c r="E1" s="31"/>
      <c r="F1" s="165"/>
    </row>
    <row r="2">
      <c r="A2" s="166" t="s">
        <v>168</v>
      </c>
      <c r="B2" s="30"/>
      <c r="C2" s="30"/>
      <c r="D2" s="30"/>
      <c r="E2" s="31"/>
      <c r="F2" s="167"/>
    </row>
    <row r="3">
      <c r="A3" s="166" t="s">
        <v>122</v>
      </c>
      <c r="B3" s="30"/>
      <c r="C3" s="31"/>
      <c r="D3" s="168" t="s">
        <v>171</v>
      </c>
      <c r="E3" s="31"/>
      <c r="F3" s="169"/>
    </row>
    <row r="4">
      <c r="A4" s="166" t="s">
        <v>124</v>
      </c>
      <c r="B4" s="30"/>
      <c r="C4" s="31"/>
      <c r="D4" s="168" t="s">
        <v>171</v>
      </c>
      <c r="E4" s="31"/>
      <c r="F4" s="169"/>
    </row>
    <row r="5">
      <c r="A5" s="166" t="s">
        <v>126</v>
      </c>
      <c r="B5" s="30"/>
      <c r="C5" s="31"/>
      <c r="D5" s="170" t="s">
        <v>202</v>
      </c>
      <c r="E5" s="31"/>
      <c r="F5" s="169"/>
    </row>
    <row r="6">
      <c r="A6" s="171" t="s">
        <v>116</v>
      </c>
      <c r="B6" s="30"/>
      <c r="C6" s="30"/>
      <c r="D6" s="30"/>
      <c r="E6" s="31"/>
      <c r="F6" s="172"/>
    </row>
    <row r="7">
      <c r="A7" s="173"/>
      <c r="B7" s="174" t="s">
        <v>203</v>
      </c>
      <c r="C7" s="174" t="s">
        <v>204</v>
      </c>
      <c r="D7" s="174" t="s">
        <v>205</v>
      </c>
      <c r="E7" s="174" t="s">
        <v>206</v>
      </c>
      <c r="F7" s="134"/>
    </row>
    <row r="8">
      <c r="A8" s="34" t="s">
        <v>176</v>
      </c>
      <c r="B8" s="175" t="s">
        <v>207</v>
      </c>
      <c r="C8" s="175" t="s">
        <v>208</v>
      </c>
      <c r="D8" s="35" t="s">
        <v>209</v>
      </c>
      <c r="E8" s="35" t="s">
        <v>210</v>
      </c>
      <c r="F8" s="138"/>
    </row>
    <row r="9">
      <c r="A9" s="176" t="s">
        <v>41</v>
      </c>
      <c r="B9" s="177">
        <v>30.0</v>
      </c>
      <c r="C9" s="177">
        <v>12.0</v>
      </c>
      <c r="D9" s="177">
        <v>5.0</v>
      </c>
      <c r="E9" s="177">
        <v>40.0</v>
      </c>
      <c r="F9" s="42"/>
    </row>
    <row r="10">
      <c r="A10" s="176" t="s">
        <v>46</v>
      </c>
      <c r="B10" s="177">
        <v>30.0</v>
      </c>
      <c r="C10" s="177">
        <v>12.0</v>
      </c>
      <c r="D10" s="177">
        <v>5.0</v>
      </c>
      <c r="E10" s="177">
        <v>40.0</v>
      </c>
      <c r="F10" s="42"/>
    </row>
    <row r="11">
      <c r="A11" s="176" t="s">
        <v>49</v>
      </c>
      <c r="B11" s="177">
        <v>30.0</v>
      </c>
      <c r="C11" s="177">
        <v>12.0</v>
      </c>
      <c r="D11" s="177">
        <v>5.0</v>
      </c>
      <c r="E11" s="177">
        <v>40.0</v>
      </c>
      <c r="F11" s="42"/>
    </row>
    <row r="12">
      <c r="A12" s="176" t="s">
        <v>51</v>
      </c>
      <c r="B12" s="177">
        <v>25.0</v>
      </c>
      <c r="C12" s="177">
        <v>16.0</v>
      </c>
      <c r="D12" s="177" t="s">
        <v>211</v>
      </c>
      <c r="E12" s="177">
        <v>30.0</v>
      </c>
      <c r="F12" s="42"/>
    </row>
    <row r="13">
      <c r="A13" s="176" t="s">
        <v>53</v>
      </c>
      <c r="B13" s="177">
        <v>25.0</v>
      </c>
      <c r="C13" s="177">
        <v>16.0</v>
      </c>
      <c r="D13" s="177" t="s">
        <v>211</v>
      </c>
      <c r="E13" s="177">
        <v>30.0</v>
      </c>
      <c r="F13" s="42"/>
    </row>
    <row r="14">
      <c r="A14" s="171" t="s">
        <v>128</v>
      </c>
      <c r="B14" s="30"/>
      <c r="C14" s="30"/>
      <c r="D14" s="30"/>
      <c r="E14" s="31"/>
      <c r="F14" s="178"/>
    </row>
    <row r="15">
      <c r="A15" s="179"/>
      <c r="B15" s="174" t="s">
        <v>212</v>
      </c>
      <c r="C15" s="180" t="s">
        <v>213</v>
      </c>
      <c r="D15" s="174" t="s">
        <v>214</v>
      </c>
      <c r="E15" s="174" t="s">
        <v>215</v>
      </c>
      <c r="F15" s="135"/>
    </row>
    <row r="16">
      <c r="A16" s="176" t="s">
        <v>41</v>
      </c>
      <c r="B16" s="177">
        <v>809.0</v>
      </c>
      <c r="C16" s="177">
        <v>68.0</v>
      </c>
      <c r="D16" s="181">
        <v>2.0</v>
      </c>
      <c r="E16" s="177">
        <v>80.0</v>
      </c>
      <c r="F16" s="36"/>
    </row>
    <row r="17">
      <c r="A17" s="176" t="s">
        <v>46</v>
      </c>
      <c r="B17" s="177">
        <v>597.0</v>
      </c>
      <c r="C17" s="177">
        <v>50.0</v>
      </c>
      <c r="D17" s="181">
        <v>2.0</v>
      </c>
      <c r="E17" s="177">
        <v>80.0</v>
      </c>
      <c r="F17" s="36"/>
    </row>
    <row r="18">
      <c r="A18" s="176" t="s">
        <v>49</v>
      </c>
      <c r="B18" s="177">
        <v>583.0</v>
      </c>
      <c r="C18" s="177">
        <v>49.0</v>
      </c>
      <c r="D18" s="181">
        <v>2.0</v>
      </c>
      <c r="E18" s="177">
        <v>80.0</v>
      </c>
      <c r="F18" s="36"/>
    </row>
    <row r="19">
      <c r="A19" s="176" t="s">
        <v>51</v>
      </c>
      <c r="B19" s="177">
        <v>2474.0</v>
      </c>
      <c r="C19" s="177">
        <v>155.0</v>
      </c>
      <c r="D19" s="181">
        <v>6.0</v>
      </c>
      <c r="E19" s="177">
        <v>180.0</v>
      </c>
      <c r="F19" s="36"/>
    </row>
    <row r="20">
      <c r="A20" s="176" t="s">
        <v>53</v>
      </c>
      <c r="B20" s="177">
        <v>390.0</v>
      </c>
      <c r="C20" s="177">
        <v>25.0</v>
      </c>
      <c r="D20" s="181">
        <v>1.0</v>
      </c>
      <c r="E20" s="177">
        <v>30.0</v>
      </c>
      <c r="F20" s="36"/>
    </row>
    <row r="21">
      <c r="A21" s="171" t="s">
        <v>146</v>
      </c>
      <c r="B21" s="30"/>
      <c r="C21" s="30"/>
      <c r="D21" s="30"/>
      <c r="E21" s="31"/>
      <c r="F21" s="182"/>
    </row>
    <row r="22">
      <c r="A22" s="179"/>
      <c r="B22" s="174" t="s">
        <v>189</v>
      </c>
      <c r="C22" s="183" t="s">
        <v>147</v>
      </c>
      <c r="D22" s="31"/>
      <c r="E22" s="184" t="s">
        <v>148</v>
      </c>
      <c r="F22" s="185"/>
    </row>
    <row r="23">
      <c r="A23" s="176" t="s">
        <v>41</v>
      </c>
      <c r="B23" s="177">
        <v>2.0</v>
      </c>
      <c r="C23" s="186" t="s">
        <v>216</v>
      </c>
      <c r="D23" s="31"/>
      <c r="E23" s="177">
        <v>1.0</v>
      </c>
      <c r="F23" s="187"/>
    </row>
    <row r="24">
      <c r="A24" s="176" t="s">
        <v>46</v>
      </c>
      <c r="B24" s="177">
        <v>2.0</v>
      </c>
      <c r="C24" s="186" t="s">
        <v>216</v>
      </c>
      <c r="D24" s="31"/>
      <c r="E24" s="177">
        <v>1.0</v>
      </c>
      <c r="F24" s="187"/>
    </row>
    <row r="25">
      <c r="A25" s="176" t="s">
        <v>49</v>
      </c>
      <c r="B25" s="177">
        <v>2.0</v>
      </c>
      <c r="C25" s="186" t="s">
        <v>216</v>
      </c>
      <c r="D25" s="31"/>
      <c r="E25" s="177">
        <v>1.0</v>
      </c>
      <c r="F25" s="187"/>
    </row>
    <row r="26">
      <c r="A26" s="176" t="s">
        <v>51</v>
      </c>
      <c r="B26" s="177">
        <v>6.0</v>
      </c>
      <c r="C26" s="186" t="s">
        <v>216</v>
      </c>
      <c r="D26" s="31"/>
      <c r="E26" s="177">
        <v>3.0</v>
      </c>
      <c r="F26" s="187"/>
    </row>
    <row r="27">
      <c r="A27" s="176" t="s">
        <v>53</v>
      </c>
      <c r="B27" s="177">
        <v>1.0</v>
      </c>
      <c r="C27" s="186">
        <v>1.0</v>
      </c>
      <c r="D27" s="31"/>
      <c r="E27" s="177">
        <v>1.0</v>
      </c>
      <c r="F27" s="187"/>
    </row>
    <row r="28">
      <c r="A28" s="188" t="s">
        <v>190</v>
      </c>
      <c r="B28" s="30"/>
      <c r="C28" s="30"/>
      <c r="D28" s="31"/>
      <c r="E28" s="189">
        <v>7.0</v>
      </c>
      <c r="F28" s="185"/>
    </row>
  </sheetData>
  <mergeCells count="18">
    <mergeCell ref="A1:E1"/>
    <mergeCell ref="A2:E2"/>
    <mergeCell ref="A3:C3"/>
    <mergeCell ref="D3:E3"/>
    <mergeCell ref="A4:C4"/>
    <mergeCell ref="D4:E4"/>
    <mergeCell ref="D5:E5"/>
    <mergeCell ref="C25:D25"/>
    <mergeCell ref="C26:D26"/>
    <mergeCell ref="C27:D27"/>
    <mergeCell ref="A28:D28"/>
    <mergeCell ref="A5:C5"/>
    <mergeCell ref="A6:E6"/>
    <mergeCell ref="A14:E14"/>
    <mergeCell ref="A21:E21"/>
    <mergeCell ref="C22:D22"/>
    <mergeCell ref="C23:D23"/>
    <mergeCell ref="C24:D2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8.25"/>
    <col customWidth="1" min="3" max="3" width="16.63"/>
    <col customWidth="1" min="4" max="4" width="20.63"/>
    <col customWidth="1" min="5" max="5" width="16.0"/>
    <col customWidth="1" min="6" max="6" width="22.5"/>
    <col customWidth="1" min="7" max="7" width="21.88"/>
    <col customWidth="1" min="8" max="8" width="16.88"/>
  </cols>
  <sheetData>
    <row r="1">
      <c r="A1" s="190" t="s">
        <v>217</v>
      </c>
      <c r="B1" s="30"/>
      <c r="C1" s="31"/>
      <c r="D1" s="1"/>
      <c r="E1" s="1"/>
      <c r="F1" s="1"/>
      <c r="G1" s="1"/>
      <c r="H1" s="1"/>
    </row>
    <row r="2">
      <c r="A2" s="191" t="s">
        <v>218</v>
      </c>
      <c r="B2" s="191">
        <v>7000.0</v>
      </c>
      <c r="C2" s="191" t="s">
        <v>219</v>
      </c>
      <c r="D2" s="1"/>
      <c r="E2" s="1"/>
      <c r="F2" s="1"/>
      <c r="G2" s="1"/>
      <c r="H2" s="1"/>
    </row>
    <row r="3">
      <c r="A3" s="191" t="s">
        <v>220</v>
      </c>
      <c r="B3" s="191">
        <v>0.005</v>
      </c>
      <c r="C3" s="191" t="s">
        <v>219</v>
      </c>
      <c r="D3" s="1"/>
      <c r="E3" s="1"/>
      <c r="F3" s="1"/>
      <c r="G3" s="1"/>
      <c r="H3" s="1"/>
    </row>
    <row r="4">
      <c r="A4" s="191" t="s">
        <v>221</v>
      </c>
      <c r="B4" s="191">
        <v>0.03</v>
      </c>
      <c r="C4" s="191" t="s">
        <v>222</v>
      </c>
      <c r="D4" s="1"/>
      <c r="E4" s="1"/>
      <c r="F4" s="1"/>
      <c r="G4" s="1"/>
      <c r="H4" s="1"/>
    </row>
    <row r="5">
      <c r="A5" s="191" t="s">
        <v>223</v>
      </c>
      <c r="B5" s="191">
        <v>0.36</v>
      </c>
      <c r="C5" s="191" t="s">
        <v>222</v>
      </c>
      <c r="D5" s="1"/>
      <c r="E5" s="1"/>
      <c r="F5" s="1"/>
      <c r="G5" s="1"/>
      <c r="H5" s="1"/>
    </row>
    <row r="6">
      <c r="A6" s="191" t="s">
        <v>224</v>
      </c>
      <c r="B6" s="191">
        <v>50.0</v>
      </c>
      <c r="C6" s="191" t="s">
        <v>225</v>
      </c>
      <c r="D6" s="1"/>
      <c r="E6" s="1"/>
      <c r="F6" s="1"/>
      <c r="G6" s="1"/>
      <c r="H6" s="1"/>
    </row>
    <row r="7">
      <c r="A7" s="1"/>
      <c r="B7" s="1"/>
      <c r="C7" s="1"/>
      <c r="D7" s="1"/>
      <c r="E7" s="1"/>
      <c r="F7" s="1"/>
      <c r="G7" s="1"/>
      <c r="H7" s="1"/>
    </row>
    <row r="8">
      <c r="A8" s="192" t="s">
        <v>226</v>
      </c>
      <c r="B8" s="30"/>
      <c r="C8" s="30"/>
      <c r="D8" s="30"/>
      <c r="E8" s="30"/>
      <c r="F8" s="30"/>
      <c r="G8" s="31"/>
    </row>
    <row r="9">
      <c r="A9" s="112"/>
      <c r="B9" s="113" t="s">
        <v>227</v>
      </c>
      <c r="C9" s="113" t="s">
        <v>228</v>
      </c>
      <c r="D9" s="193" t="s">
        <v>229</v>
      </c>
      <c r="E9" s="113" t="s">
        <v>230</v>
      </c>
      <c r="F9" s="113" t="s">
        <v>231</v>
      </c>
      <c r="G9" s="113" t="s">
        <v>232</v>
      </c>
    </row>
    <row r="10">
      <c r="A10" s="116" t="s">
        <v>233</v>
      </c>
      <c r="B10" s="194" t="s">
        <v>234</v>
      </c>
      <c r="C10" s="194" t="s">
        <v>235</v>
      </c>
      <c r="D10" s="195" t="s">
        <v>236</v>
      </c>
      <c r="E10" s="194" t="s">
        <v>237</v>
      </c>
      <c r="F10" s="194" t="s">
        <v>238</v>
      </c>
      <c r="G10" s="194" t="s">
        <v>239</v>
      </c>
    </row>
    <row r="11">
      <c r="A11" s="81" t="s">
        <v>41</v>
      </c>
      <c r="B11" s="196">
        <v>0.15</v>
      </c>
      <c r="C11" s="197">
        <v>6.0E-4</v>
      </c>
      <c r="D11" s="198">
        <f t="shared" ref="D11:D15" si="1">($B$3)^2 / C11^2</f>
        <v>69.44444444</v>
      </c>
      <c r="E11" s="199">
        <f t="shared" ref="E11:E15" si="2">$B$2*B11*D11</f>
        <v>72916.66667</v>
      </c>
      <c r="F11" s="200">
        <f t="shared" ref="F11:F15" si="3">(2*PI()*(C11/2)*E11) + (2 * PI()*(C11/2)^2)</f>
        <v>137.4446792</v>
      </c>
      <c r="G11" s="199">
        <f t="shared" ref="G11:G14" si="4">$B$4*F11</f>
        <v>4.123340375</v>
      </c>
    </row>
    <row r="12">
      <c r="A12" s="81" t="s">
        <v>46</v>
      </c>
      <c r="B12" s="196">
        <v>0.21</v>
      </c>
      <c r="C12" s="197">
        <v>9.0E-4</v>
      </c>
      <c r="D12" s="198">
        <f t="shared" si="1"/>
        <v>30.86419753</v>
      </c>
      <c r="E12" s="199">
        <f t="shared" si="2"/>
        <v>45370.37037</v>
      </c>
      <c r="F12" s="200">
        <f t="shared" si="3"/>
        <v>128.2817013</v>
      </c>
      <c r="G12" s="199">
        <f t="shared" si="4"/>
        <v>3.848451039</v>
      </c>
    </row>
    <row r="13">
      <c r="A13" s="81" t="s">
        <v>49</v>
      </c>
      <c r="B13" s="196">
        <v>0.1</v>
      </c>
      <c r="C13" s="197">
        <v>0.0018</v>
      </c>
      <c r="D13" s="198">
        <f t="shared" si="1"/>
        <v>7.716049383</v>
      </c>
      <c r="E13" s="199">
        <f t="shared" si="2"/>
        <v>5401.234568</v>
      </c>
      <c r="F13" s="200">
        <f t="shared" si="3"/>
        <v>30.543267</v>
      </c>
      <c r="G13" s="199">
        <f t="shared" si="4"/>
        <v>0.91629801</v>
      </c>
    </row>
    <row r="14">
      <c r="A14" s="81" t="s">
        <v>51</v>
      </c>
      <c r="B14" s="196">
        <v>0.31</v>
      </c>
      <c r="C14" s="197">
        <v>0.0018</v>
      </c>
      <c r="D14" s="198">
        <f t="shared" si="1"/>
        <v>7.716049383</v>
      </c>
      <c r="E14" s="199">
        <f t="shared" si="2"/>
        <v>16743.82716</v>
      </c>
      <c r="F14" s="200">
        <f t="shared" si="3"/>
        <v>94.68411701</v>
      </c>
      <c r="G14" s="199">
        <f t="shared" si="4"/>
        <v>2.84052351</v>
      </c>
    </row>
    <row r="15">
      <c r="A15" s="201" t="s">
        <v>240</v>
      </c>
      <c r="B15" s="196">
        <v>0.23</v>
      </c>
      <c r="C15" s="197">
        <v>0.0025</v>
      </c>
      <c r="D15" s="198">
        <f t="shared" si="1"/>
        <v>4</v>
      </c>
      <c r="E15" s="199">
        <f t="shared" si="2"/>
        <v>6440</v>
      </c>
      <c r="F15" s="200">
        <f t="shared" si="3"/>
        <v>50.57965154</v>
      </c>
      <c r="G15" s="199">
        <f>F15*B5</f>
        <v>18.20867455</v>
      </c>
    </row>
    <row r="16">
      <c r="A16" s="202" t="s">
        <v>241</v>
      </c>
      <c r="B16" s="30"/>
      <c r="C16" s="30"/>
      <c r="D16" s="30"/>
      <c r="E16" s="30"/>
      <c r="F16" s="31"/>
      <c r="G16" s="199">
        <f>SUM(G11:G15)</f>
        <v>29.93728749</v>
      </c>
    </row>
    <row r="17">
      <c r="A17" s="202" t="s">
        <v>242</v>
      </c>
      <c r="B17" s="30"/>
      <c r="C17" s="30"/>
      <c r="D17" s="30"/>
      <c r="E17" s="30"/>
      <c r="F17" s="31"/>
      <c r="G17" s="199">
        <f>G16*B6</f>
        <v>1496.864374</v>
      </c>
    </row>
  </sheetData>
  <mergeCells count="4">
    <mergeCell ref="A1:C1"/>
    <mergeCell ref="A8:G8"/>
    <mergeCell ref="A16:F16"/>
    <mergeCell ref="A17:F1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4.5"/>
    <col customWidth="1" min="3" max="3" width="20.0"/>
    <col customWidth="1" min="4" max="4" width="15.25"/>
    <col customWidth="1" min="5" max="5" width="17.38"/>
    <col customWidth="1" min="6" max="6" width="18.75"/>
  </cols>
  <sheetData>
    <row r="1">
      <c r="A1" s="192" t="s">
        <v>243</v>
      </c>
      <c r="B1" s="30"/>
      <c r="C1" s="30"/>
      <c r="D1" s="30"/>
      <c r="E1" s="30"/>
      <c r="F1" s="30"/>
      <c r="G1" s="31"/>
    </row>
    <row r="2">
      <c r="A2" s="203"/>
      <c r="B2" s="114" t="s">
        <v>185</v>
      </c>
      <c r="C2" s="119" t="s">
        <v>187</v>
      </c>
      <c r="D2" s="204" t="s">
        <v>244</v>
      </c>
      <c r="E2" s="204" t="s">
        <v>245</v>
      </c>
      <c r="F2" s="204" t="s">
        <v>246</v>
      </c>
      <c r="G2" s="205" t="s">
        <v>247</v>
      </c>
      <c r="H2" s="206"/>
      <c r="I2" s="207" t="s">
        <v>248</v>
      </c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</row>
    <row r="3">
      <c r="A3" s="81" t="s">
        <v>41</v>
      </c>
      <c r="B3" s="208">
        <v>809.0</v>
      </c>
      <c r="C3" s="209">
        <v>22.0</v>
      </c>
      <c r="D3" s="210">
        <f t="shared" ref="D3:D7" si="1">B3/C3</f>
        <v>36.77272727</v>
      </c>
      <c r="E3" s="210">
        <f t="shared" ref="E3:E7" si="2">D3/8</f>
        <v>4.596590909</v>
      </c>
      <c r="F3" s="210">
        <f t="shared" ref="F3:F7" si="3">1/E3 *60</f>
        <v>13.05315204</v>
      </c>
      <c r="G3" s="211">
        <f t="shared" ref="G3:G7" si="4">ROUNDUP(F3/3,0)</f>
        <v>5</v>
      </c>
    </row>
    <row r="4">
      <c r="A4" s="81" t="s">
        <v>46</v>
      </c>
      <c r="B4" s="208">
        <v>597.0</v>
      </c>
      <c r="C4" s="208">
        <v>10.0</v>
      </c>
      <c r="D4" s="210">
        <f t="shared" si="1"/>
        <v>59.7</v>
      </c>
      <c r="E4" s="210">
        <f t="shared" si="2"/>
        <v>7.4625</v>
      </c>
      <c r="F4" s="210">
        <f t="shared" si="3"/>
        <v>8.040201005</v>
      </c>
      <c r="G4" s="211">
        <f t="shared" si="4"/>
        <v>3</v>
      </c>
    </row>
    <row r="5">
      <c r="A5" s="81" t="s">
        <v>49</v>
      </c>
      <c r="B5" s="208">
        <v>583.0</v>
      </c>
      <c r="C5" s="209">
        <v>6.0</v>
      </c>
      <c r="D5" s="210">
        <f t="shared" si="1"/>
        <v>97.16666667</v>
      </c>
      <c r="E5" s="210">
        <f t="shared" si="2"/>
        <v>12.14583333</v>
      </c>
      <c r="F5" s="210">
        <f t="shared" si="3"/>
        <v>4.939965695</v>
      </c>
      <c r="G5" s="211">
        <f t="shared" si="4"/>
        <v>2</v>
      </c>
    </row>
    <row r="6">
      <c r="A6" s="81" t="s">
        <v>51</v>
      </c>
      <c r="B6" s="208">
        <v>2474.0</v>
      </c>
      <c r="C6" s="209">
        <v>13.0</v>
      </c>
      <c r="D6" s="210">
        <f t="shared" si="1"/>
        <v>190.3076923</v>
      </c>
      <c r="E6" s="210">
        <f t="shared" si="2"/>
        <v>23.78846154</v>
      </c>
      <c r="F6" s="210">
        <f t="shared" si="3"/>
        <v>2.522231205</v>
      </c>
      <c r="G6" s="211">
        <f t="shared" si="4"/>
        <v>1</v>
      </c>
    </row>
    <row r="7">
      <c r="A7" s="201" t="s">
        <v>53</v>
      </c>
      <c r="B7" s="209">
        <v>390.0</v>
      </c>
      <c r="C7" s="209">
        <v>9.0</v>
      </c>
      <c r="D7" s="210">
        <f t="shared" si="1"/>
        <v>43.33333333</v>
      </c>
      <c r="E7" s="210">
        <f t="shared" si="2"/>
        <v>5.416666667</v>
      </c>
      <c r="F7" s="210">
        <f t="shared" si="3"/>
        <v>11.07692308</v>
      </c>
      <c r="G7" s="211">
        <f t="shared" si="4"/>
        <v>4</v>
      </c>
    </row>
    <row r="8">
      <c r="A8" s="202" t="s">
        <v>249</v>
      </c>
      <c r="B8" s="30"/>
      <c r="C8" s="30"/>
      <c r="D8" s="30"/>
      <c r="E8" s="30"/>
      <c r="F8" s="31"/>
      <c r="G8" s="211">
        <f>SUM(G3:G7)</f>
        <v>15</v>
      </c>
    </row>
    <row r="10">
      <c r="A10" s="212" t="s">
        <v>250</v>
      </c>
      <c r="B10" s="31"/>
    </row>
    <row r="11">
      <c r="A11" s="213"/>
      <c r="B11" s="214" t="s">
        <v>251</v>
      </c>
    </row>
    <row r="12">
      <c r="A12" s="215" t="s">
        <v>252</v>
      </c>
      <c r="B12" s="216">
        <v>11.0</v>
      </c>
    </row>
    <row r="13">
      <c r="A13" s="215" t="s">
        <v>253</v>
      </c>
      <c r="B13" s="216">
        <v>14.0</v>
      </c>
    </row>
    <row r="14">
      <c r="A14" s="215" t="s">
        <v>254</v>
      </c>
      <c r="B14" s="216">
        <v>1.0</v>
      </c>
    </row>
    <row r="15">
      <c r="A15" s="215" t="s">
        <v>18</v>
      </c>
      <c r="B15" s="211">
        <f>SUM(B12:B14)</f>
        <v>26</v>
      </c>
    </row>
    <row r="17">
      <c r="A17" s="212" t="s">
        <v>255</v>
      </c>
      <c r="B17" s="31"/>
    </row>
    <row r="18">
      <c r="A18" s="213"/>
      <c r="B18" s="214" t="s">
        <v>251</v>
      </c>
    </row>
    <row r="19">
      <c r="A19" s="215" t="s">
        <v>252</v>
      </c>
      <c r="B19" s="216">
        <v>5.0</v>
      </c>
    </row>
    <row r="20">
      <c r="A20" s="215" t="s">
        <v>253</v>
      </c>
      <c r="B20" s="216">
        <v>3.0</v>
      </c>
    </row>
    <row r="21">
      <c r="A21" s="215" t="s">
        <v>254</v>
      </c>
      <c r="B21" s="216">
        <v>1.0</v>
      </c>
    </row>
    <row r="22">
      <c r="A22" s="215" t="s">
        <v>18</v>
      </c>
      <c r="B22" s="211">
        <f>SUM(B19:B21)</f>
        <v>9</v>
      </c>
    </row>
    <row r="24">
      <c r="A24" s="212" t="s">
        <v>256</v>
      </c>
      <c r="B24" s="31"/>
    </row>
    <row r="25">
      <c r="A25" s="213"/>
      <c r="B25" s="214" t="s">
        <v>251</v>
      </c>
    </row>
    <row r="26">
      <c r="A26" s="215" t="s">
        <v>257</v>
      </c>
      <c r="B26" s="216">
        <v>3.0</v>
      </c>
    </row>
    <row r="27">
      <c r="A27" s="215" t="s">
        <v>258</v>
      </c>
      <c r="B27" s="216">
        <v>1.0</v>
      </c>
    </row>
    <row r="28">
      <c r="A28" s="215" t="s">
        <v>259</v>
      </c>
      <c r="B28" s="216">
        <v>1.0</v>
      </c>
    </row>
    <row r="29">
      <c r="A29" s="215" t="s">
        <v>18</v>
      </c>
      <c r="B29" s="211">
        <f>SUM(B26:B28)</f>
        <v>5</v>
      </c>
    </row>
    <row r="31">
      <c r="A31" s="217" t="s">
        <v>260</v>
      </c>
    </row>
    <row r="32">
      <c r="A32" s="203"/>
      <c r="B32" s="114" t="s">
        <v>185</v>
      </c>
      <c r="C32" s="114" t="s">
        <v>261</v>
      </c>
      <c r="D32" s="218" t="s">
        <v>262</v>
      </c>
      <c r="E32" s="204" t="s">
        <v>263</v>
      </c>
      <c r="F32" s="218" t="s">
        <v>264</v>
      </c>
    </row>
    <row r="33">
      <c r="A33" s="81" t="s">
        <v>41</v>
      </c>
      <c r="B33" s="208">
        <v>809.0</v>
      </c>
      <c r="C33" s="219">
        <v>0.3</v>
      </c>
      <c r="D33" s="220">
        <v>0.9</v>
      </c>
      <c r="E33" s="220">
        <v>1.2</v>
      </c>
      <c r="F33" s="220">
        <v>12.0</v>
      </c>
    </row>
    <row r="34">
      <c r="A34" s="81" t="s">
        <v>46</v>
      </c>
      <c r="B34" s="208">
        <v>597.0</v>
      </c>
      <c r="C34" s="219">
        <v>0.3</v>
      </c>
      <c r="D34" s="220">
        <v>1.8</v>
      </c>
      <c r="E34" s="220">
        <v>1.2</v>
      </c>
      <c r="F34" s="220">
        <v>12.0</v>
      </c>
    </row>
    <row r="35">
      <c r="A35" s="81" t="s">
        <v>49</v>
      </c>
      <c r="B35" s="208">
        <v>583.0</v>
      </c>
      <c r="C35" s="219">
        <v>0.3</v>
      </c>
      <c r="D35" s="220">
        <v>0.6</v>
      </c>
      <c r="E35" s="220">
        <v>1.2</v>
      </c>
      <c r="F35" s="220">
        <v>12.0</v>
      </c>
    </row>
    <row r="36">
      <c r="A36" s="81" t="s">
        <v>51</v>
      </c>
      <c r="B36" s="208">
        <v>2474.0</v>
      </c>
      <c r="C36" s="219">
        <v>0.25</v>
      </c>
      <c r="D36" s="220">
        <v>0.9</v>
      </c>
      <c r="E36" s="220">
        <v>1.2</v>
      </c>
      <c r="F36" s="220">
        <v>16.0</v>
      </c>
    </row>
    <row r="37">
      <c r="A37" s="201" t="s">
        <v>53</v>
      </c>
      <c r="B37" s="209">
        <v>390.0</v>
      </c>
      <c r="C37" s="219">
        <v>0.25</v>
      </c>
      <c r="D37" s="220">
        <v>2.0</v>
      </c>
      <c r="E37" s="220">
        <v>1.2</v>
      </c>
      <c r="F37" s="220">
        <v>16.0</v>
      </c>
    </row>
    <row r="39">
      <c r="A39" s="4" t="s">
        <v>265</v>
      </c>
    </row>
  </sheetData>
  <mergeCells count="6">
    <mergeCell ref="A1:G1"/>
    <mergeCell ref="A8:F8"/>
    <mergeCell ref="A10:B10"/>
    <mergeCell ref="A17:B17"/>
    <mergeCell ref="A24:B24"/>
    <mergeCell ref="A31:F3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3" max="3" width="14.25"/>
  </cols>
  <sheetData>
    <row r="1">
      <c r="A1" s="192" t="s">
        <v>266</v>
      </c>
      <c r="B1" s="30"/>
      <c r="C1" s="221"/>
      <c r="D1" s="221"/>
      <c r="E1" s="221"/>
      <c r="F1" s="221"/>
      <c r="G1" s="222"/>
    </row>
    <row r="2">
      <c r="A2" s="192" t="s">
        <v>267</v>
      </c>
      <c r="B2" s="30"/>
      <c r="C2" s="222"/>
      <c r="D2" s="222"/>
      <c r="E2" s="222"/>
      <c r="F2" s="222"/>
      <c r="G2" s="222"/>
    </row>
    <row r="3">
      <c r="A3" s="223" t="s">
        <v>262</v>
      </c>
      <c r="B3" s="224">
        <v>1.0</v>
      </c>
      <c r="C3" s="222"/>
      <c r="D3" s="222"/>
      <c r="E3" s="222"/>
      <c r="F3" s="222"/>
      <c r="G3" s="222"/>
    </row>
    <row r="4">
      <c r="A4" s="223" t="s">
        <v>268</v>
      </c>
      <c r="B4" s="224">
        <v>1.5</v>
      </c>
      <c r="C4" s="222"/>
      <c r="D4" s="222"/>
      <c r="E4" s="222"/>
      <c r="F4" s="222"/>
      <c r="G4" s="222"/>
    </row>
    <row r="5">
      <c r="A5" s="223" t="s">
        <v>269</v>
      </c>
      <c r="B5" s="224">
        <f>B4/2</f>
        <v>0.75</v>
      </c>
      <c r="C5" s="222"/>
      <c r="D5" s="222"/>
      <c r="E5" s="222"/>
      <c r="F5" s="222"/>
      <c r="G5" s="222"/>
    </row>
    <row r="6">
      <c r="A6" s="223" t="s">
        <v>270</v>
      </c>
      <c r="B6" s="224">
        <f>B5*B5</f>
        <v>0.5625</v>
      </c>
      <c r="C6" s="222"/>
      <c r="D6" s="222"/>
      <c r="E6" s="222"/>
      <c r="F6" s="222"/>
      <c r="G6" s="222"/>
    </row>
    <row r="7">
      <c r="A7" s="223" t="s">
        <v>271</v>
      </c>
      <c r="B7" s="224">
        <v>2500.0</v>
      </c>
      <c r="C7" s="222"/>
      <c r="D7" s="222"/>
      <c r="E7" s="222"/>
      <c r="F7" s="222"/>
      <c r="G7" s="222"/>
    </row>
    <row r="8">
      <c r="A8" s="223" t="s">
        <v>272</v>
      </c>
      <c r="B8" s="224">
        <v>3.141592654</v>
      </c>
      <c r="C8" s="222"/>
      <c r="D8" s="222"/>
      <c r="E8" s="222"/>
      <c r="F8" s="222"/>
      <c r="G8" s="222"/>
    </row>
    <row r="9">
      <c r="A9" s="223" t="s">
        <v>273</v>
      </c>
      <c r="B9" s="224">
        <v>150.0</v>
      </c>
      <c r="C9" s="222"/>
      <c r="D9" s="222"/>
      <c r="E9" s="222"/>
      <c r="F9" s="222"/>
      <c r="G9" s="222"/>
    </row>
    <row r="10">
      <c r="A10" s="225" t="s">
        <v>274</v>
      </c>
      <c r="B10" s="31"/>
      <c r="C10" s="222"/>
      <c r="D10" s="222"/>
      <c r="E10" s="222"/>
      <c r="F10" s="222"/>
      <c r="G10" s="222"/>
    </row>
    <row r="11">
      <c r="A11" s="224" t="s">
        <v>275</v>
      </c>
      <c r="B11" s="224">
        <f>2*B8*B5+ 2*B8*(B6)</f>
        <v>8.246680717</v>
      </c>
      <c r="C11" s="226"/>
      <c r="D11" s="222"/>
      <c r="E11" s="222"/>
      <c r="F11" s="222"/>
      <c r="G11" s="222"/>
    </row>
    <row r="12">
      <c r="A12" s="224" t="s">
        <v>276</v>
      </c>
      <c r="B12" s="224">
        <f>(B11*B9)/3</f>
        <v>412.3340358</v>
      </c>
      <c r="C12" s="224" t="s">
        <v>277</v>
      </c>
      <c r="D12" s="222"/>
      <c r="E12" s="222"/>
      <c r="F12" s="222"/>
      <c r="G12" s="222"/>
    </row>
    <row r="13">
      <c r="A13" s="224" t="s">
        <v>278</v>
      </c>
      <c r="B13" s="224">
        <v>2.0</v>
      </c>
      <c r="C13" s="224"/>
      <c r="D13" s="222"/>
      <c r="E13" s="222"/>
      <c r="F13" s="222"/>
      <c r="G13" s="222"/>
    </row>
    <row r="14">
      <c r="A14" s="227" t="s">
        <v>279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1"/>
    </row>
    <row r="15">
      <c r="A15" s="203"/>
      <c r="B15" s="114" t="s">
        <v>185</v>
      </c>
      <c r="C15" s="114" t="s">
        <v>261</v>
      </c>
      <c r="D15" s="218" t="s">
        <v>262</v>
      </c>
      <c r="E15" s="204" t="s">
        <v>280</v>
      </c>
      <c r="F15" s="218" t="s">
        <v>281</v>
      </c>
      <c r="G15" s="228" t="s">
        <v>282</v>
      </c>
      <c r="H15" s="228" t="s">
        <v>283</v>
      </c>
      <c r="I15" s="229" t="s">
        <v>284</v>
      </c>
      <c r="J15" s="230" t="s">
        <v>285</v>
      </c>
      <c r="K15" s="230" t="s">
        <v>286</v>
      </c>
      <c r="L15" s="228" t="s">
        <v>287</v>
      </c>
    </row>
    <row r="16">
      <c r="A16" s="81" t="s">
        <v>41</v>
      </c>
      <c r="B16" s="208">
        <v>809.0</v>
      </c>
      <c r="C16" s="219">
        <v>0.3</v>
      </c>
      <c r="D16" s="220">
        <v>0.9</v>
      </c>
      <c r="E16" s="220">
        <v>1.0</v>
      </c>
      <c r="F16" s="220">
        <f>D16/C16*3</f>
        <v>9</v>
      </c>
      <c r="G16" s="216">
        <v>3.0</v>
      </c>
      <c r="H16" s="211">
        <f t="shared" ref="H16:H19" si="1">G16*E16</f>
        <v>3</v>
      </c>
      <c r="I16" s="211">
        <f t="shared" ref="I16:I19" si="2">F16*G16</f>
        <v>27</v>
      </c>
      <c r="J16" s="211">
        <f t="shared" ref="J16:J19" si="3">Roundup(B16/I16,0)</f>
        <v>30</v>
      </c>
      <c r="K16" s="211">
        <f t="shared" ref="K16:K19" si="4">roundup((E16)*(E16)*J16,0)</f>
        <v>30</v>
      </c>
      <c r="L16" s="216">
        <v>4.0</v>
      </c>
    </row>
    <row r="17">
      <c r="A17" s="81" t="s">
        <v>46</v>
      </c>
      <c r="B17" s="208">
        <v>597.0</v>
      </c>
      <c r="C17" s="219">
        <v>0.3</v>
      </c>
      <c r="D17" s="220">
        <v>1.8</v>
      </c>
      <c r="E17" s="220">
        <v>1.8</v>
      </c>
      <c r="F17" s="220">
        <f t="shared" ref="F17:F18" si="5">E17/C17*(E17/C17)*(E17/D17)</f>
        <v>36</v>
      </c>
      <c r="G17" s="216">
        <v>2.0</v>
      </c>
      <c r="H17" s="211">
        <f t="shared" si="1"/>
        <v>3.6</v>
      </c>
      <c r="I17" s="211">
        <f t="shared" si="2"/>
        <v>72</v>
      </c>
      <c r="J17" s="211">
        <f t="shared" si="3"/>
        <v>9</v>
      </c>
      <c r="K17" s="211">
        <f t="shared" si="4"/>
        <v>30</v>
      </c>
      <c r="L17" s="216">
        <v>5.0</v>
      </c>
    </row>
    <row r="18">
      <c r="A18" s="81" t="s">
        <v>49</v>
      </c>
      <c r="B18" s="208">
        <v>583.0</v>
      </c>
      <c r="C18" s="219">
        <v>0.3</v>
      </c>
      <c r="D18" s="220">
        <v>0.6</v>
      </c>
      <c r="E18" s="220">
        <v>1.8</v>
      </c>
      <c r="F18" s="220">
        <f t="shared" si="5"/>
        <v>108</v>
      </c>
      <c r="G18" s="216">
        <v>1.0</v>
      </c>
      <c r="H18" s="211">
        <f t="shared" si="1"/>
        <v>1.8</v>
      </c>
      <c r="I18" s="211">
        <f t="shared" si="2"/>
        <v>108</v>
      </c>
      <c r="J18" s="211">
        <f t="shared" si="3"/>
        <v>6</v>
      </c>
      <c r="K18" s="211">
        <f t="shared" si="4"/>
        <v>20</v>
      </c>
      <c r="L18" s="216">
        <v>4.0</v>
      </c>
    </row>
    <row r="19">
      <c r="A19" s="81" t="s">
        <v>51</v>
      </c>
      <c r="B19" s="208">
        <v>2474.0</v>
      </c>
      <c r="C19" s="219">
        <v>0.25</v>
      </c>
      <c r="D19" s="220">
        <v>0.9</v>
      </c>
      <c r="E19" s="220">
        <v>1.8</v>
      </c>
      <c r="F19" s="220">
        <f>E19/C19*(E19/C19)</f>
        <v>51.84</v>
      </c>
      <c r="G19" s="216">
        <v>2.0</v>
      </c>
      <c r="H19" s="211">
        <f t="shared" si="1"/>
        <v>3.6</v>
      </c>
      <c r="I19" s="211">
        <f t="shared" si="2"/>
        <v>103.68</v>
      </c>
      <c r="J19" s="211">
        <f t="shared" si="3"/>
        <v>24</v>
      </c>
      <c r="K19" s="211">
        <f t="shared" si="4"/>
        <v>78</v>
      </c>
      <c r="L19" s="216">
        <v>6.0</v>
      </c>
    </row>
    <row r="20">
      <c r="A20" s="227" t="s">
        <v>288</v>
      </c>
      <c r="B20" s="30"/>
      <c r="C20" s="30"/>
      <c r="D20" s="30"/>
      <c r="E20" s="30"/>
      <c r="F20" s="30"/>
      <c r="G20" s="30"/>
      <c r="H20" s="30"/>
      <c r="I20" s="30"/>
      <c r="J20" s="30"/>
      <c r="K20" s="31"/>
      <c r="L20" s="211"/>
    </row>
    <row r="21">
      <c r="A21" s="201" t="s">
        <v>53</v>
      </c>
      <c r="B21" s="209">
        <v>390.0</v>
      </c>
      <c r="C21" s="219">
        <v>0.25</v>
      </c>
      <c r="D21" s="220">
        <v>2.0</v>
      </c>
      <c r="E21" s="220">
        <v>2.0</v>
      </c>
      <c r="F21" s="220">
        <f>E21/C21*(E21/C21)*(E21/D21)</f>
        <v>64</v>
      </c>
      <c r="G21" s="216">
        <v>1.0</v>
      </c>
      <c r="H21" s="211">
        <f>G21*E21</f>
        <v>2</v>
      </c>
      <c r="I21" s="211">
        <f>F21*G21</f>
        <v>64</v>
      </c>
      <c r="J21" s="211">
        <f>Roundup(B21/I21,0)</f>
        <v>7</v>
      </c>
      <c r="K21" s="211">
        <f>roundup((E21)*(E21)*J21,0)</f>
        <v>28</v>
      </c>
      <c r="L21" s="216">
        <v>3.0</v>
      </c>
    </row>
    <row r="22">
      <c r="K22" s="4" t="s">
        <v>289</v>
      </c>
      <c r="L22" s="211">
        <f>SUM(L16:L21)</f>
        <v>22</v>
      </c>
    </row>
  </sheetData>
  <mergeCells count="5">
    <mergeCell ref="A1:B1"/>
    <mergeCell ref="A2:B2"/>
    <mergeCell ref="A10:B10"/>
    <mergeCell ref="A14:L14"/>
    <mergeCell ref="A20:K2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3.5"/>
    <col customWidth="1" min="3" max="3" width="15.75"/>
    <col customWidth="1" min="4" max="4" width="15.5"/>
    <col customWidth="1" min="5" max="5" width="14.38"/>
    <col customWidth="1" min="6" max="6" width="20.75"/>
    <col customWidth="1" min="7" max="7" width="27.38"/>
  </cols>
  <sheetData>
    <row r="1">
      <c r="A1" s="231" t="s">
        <v>290</v>
      </c>
      <c r="B1" s="30"/>
      <c r="C1" s="30"/>
      <c r="D1" s="30"/>
      <c r="E1" s="30"/>
      <c r="F1" s="30"/>
      <c r="G1" s="31"/>
    </row>
    <row r="2">
      <c r="A2" s="230" t="s">
        <v>291</v>
      </c>
      <c r="B2" s="230" t="s">
        <v>292</v>
      </c>
      <c r="C2" s="230" t="s">
        <v>293</v>
      </c>
      <c r="D2" s="230" t="s">
        <v>294</v>
      </c>
      <c r="E2" s="230" t="s">
        <v>295</v>
      </c>
      <c r="F2" s="230" t="s">
        <v>296</v>
      </c>
      <c r="G2" s="230" t="s">
        <v>297</v>
      </c>
    </row>
    <row r="3">
      <c r="A3" s="232" t="s">
        <v>298</v>
      </c>
      <c r="B3" s="216" t="s">
        <v>299</v>
      </c>
      <c r="C3" s="216">
        <v>0.15</v>
      </c>
      <c r="D3" s="216">
        <v>12.0</v>
      </c>
      <c r="E3" s="211">
        <f t="shared" ref="E3:E28" si="1">C3*D3</f>
        <v>1.8</v>
      </c>
      <c r="F3" s="216">
        <v>9.0</v>
      </c>
      <c r="G3" s="211">
        <f t="shared" ref="G3:G28" si="2">E3*F3</f>
        <v>16.2</v>
      </c>
    </row>
    <row r="4">
      <c r="A4" s="233"/>
      <c r="B4" s="216" t="s">
        <v>300</v>
      </c>
      <c r="C4" s="216">
        <v>1.15</v>
      </c>
      <c r="D4" s="216">
        <v>2.0</v>
      </c>
      <c r="E4" s="211">
        <f t="shared" si="1"/>
        <v>2.3</v>
      </c>
      <c r="F4" s="216">
        <v>9.0</v>
      </c>
      <c r="G4" s="211">
        <f t="shared" si="2"/>
        <v>20.7</v>
      </c>
    </row>
    <row r="5">
      <c r="A5" s="234"/>
      <c r="B5" s="216" t="s">
        <v>301</v>
      </c>
      <c r="C5" s="216">
        <v>27500.0</v>
      </c>
      <c r="D5" s="216">
        <v>1.0</v>
      </c>
      <c r="E5" s="211">
        <f t="shared" si="1"/>
        <v>27500</v>
      </c>
      <c r="F5" s="216">
        <v>8.0</v>
      </c>
      <c r="G5" s="211">
        <f t="shared" si="2"/>
        <v>220000</v>
      </c>
    </row>
    <row r="6">
      <c r="A6" s="232" t="s">
        <v>302</v>
      </c>
      <c r="B6" s="216" t="s">
        <v>299</v>
      </c>
      <c r="C6" s="216">
        <v>0.15</v>
      </c>
      <c r="D6" s="216">
        <v>12.0</v>
      </c>
      <c r="E6" s="211">
        <f t="shared" si="1"/>
        <v>1.8</v>
      </c>
      <c r="F6" s="216">
        <v>9.0</v>
      </c>
      <c r="G6" s="211">
        <f t="shared" si="2"/>
        <v>16.2</v>
      </c>
    </row>
    <row r="7">
      <c r="A7" s="233"/>
      <c r="B7" s="216" t="s">
        <v>300</v>
      </c>
      <c r="C7" s="216">
        <v>1.15</v>
      </c>
      <c r="D7" s="216">
        <v>5.0</v>
      </c>
      <c r="E7" s="211">
        <f t="shared" si="1"/>
        <v>5.75</v>
      </c>
      <c r="F7" s="216">
        <v>9.0</v>
      </c>
      <c r="G7" s="211">
        <f t="shared" si="2"/>
        <v>51.75</v>
      </c>
      <c r="I7" s="127" t="s">
        <v>303</v>
      </c>
    </row>
    <row r="8">
      <c r="A8" s="233"/>
      <c r="B8" s="216" t="s">
        <v>304</v>
      </c>
      <c r="C8" s="216">
        <v>37.0</v>
      </c>
      <c r="D8" s="216">
        <v>8.0</v>
      </c>
      <c r="E8" s="211">
        <f t="shared" si="1"/>
        <v>296</v>
      </c>
      <c r="F8" s="216">
        <v>8.0</v>
      </c>
      <c r="G8" s="211">
        <f t="shared" si="2"/>
        <v>2368</v>
      </c>
    </row>
    <row r="9">
      <c r="A9" s="233"/>
      <c r="B9" s="216" t="s">
        <v>305</v>
      </c>
      <c r="C9" s="216">
        <v>25000.0</v>
      </c>
      <c r="D9" s="216">
        <v>1.0</v>
      </c>
      <c r="E9" s="211">
        <f t="shared" si="1"/>
        <v>25000</v>
      </c>
      <c r="F9" s="216">
        <v>8.0</v>
      </c>
      <c r="G9" s="211">
        <f t="shared" si="2"/>
        <v>200000</v>
      </c>
    </row>
    <row r="10">
      <c r="A10" s="234"/>
      <c r="B10" s="216" t="s">
        <v>306</v>
      </c>
      <c r="C10" s="216">
        <v>1.5</v>
      </c>
      <c r="D10" s="216">
        <v>2.0</v>
      </c>
      <c r="E10" s="211">
        <f t="shared" si="1"/>
        <v>3</v>
      </c>
      <c r="F10" s="216">
        <v>8.0</v>
      </c>
      <c r="G10" s="211">
        <f t="shared" si="2"/>
        <v>24</v>
      </c>
    </row>
    <row r="11">
      <c r="A11" s="232" t="s">
        <v>307</v>
      </c>
      <c r="B11" s="216" t="s">
        <v>299</v>
      </c>
      <c r="C11" s="216">
        <v>0.15</v>
      </c>
      <c r="D11" s="216">
        <v>12.0</v>
      </c>
      <c r="E11" s="211">
        <f t="shared" si="1"/>
        <v>1.8</v>
      </c>
      <c r="F11" s="216">
        <v>9.0</v>
      </c>
      <c r="G11" s="211">
        <f t="shared" si="2"/>
        <v>16.2</v>
      </c>
    </row>
    <row r="12">
      <c r="A12" s="233"/>
      <c r="B12" s="216" t="s">
        <v>300</v>
      </c>
      <c r="C12" s="216">
        <v>1.15</v>
      </c>
      <c r="D12" s="216">
        <v>2.0</v>
      </c>
      <c r="E12" s="211">
        <f t="shared" si="1"/>
        <v>2.3</v>
      </c>
      <c r="F12" s="216">
        <v>9.0</v>
      </c>
      <c r="G12" s="211">
        <f t="shared" si="2"/>
        <v>20.7</v>
      </c>
    </row>
    <row r="13">
      <c r="A13" s="233"/>
      <c r="B13" s="216" t="s">
        <v>308</v>
      </c>
      <c r="C13" s="216">
        <v>4.0</v>
      </c>
      <c r="D13" s="216">
        <v>51.0</v>
      </c>
      <c r="E13" s="211">
        <f t="shared" si="1"/>
        <v>204</v>
      </c>
      <c r="F13" s="216">
        <v>8.0</v>
      </c>
      <c r="G13" s="211">
        <f t="shared" si="2"/>
        <v>1632</v>
      </c>
    </row>
    <row r="14">
      <c r="A14" s="234"/>
      <c r="B14" s="216" t="s">
        <v>309</v>
      </c>
      <c r="C14" s="216">
        <v>0.745</v>
      </c>
      <c r="D14" s="216">
        <v>51.0</v>
      </c>
      <c r="E14" s="211">
        <f t="shared" si="1"/>
        <v>37.995</v>
      </c>
      <c r="F14" s="216">
        <v>8.0</v>
      </c>
      <c r="G14" s="211">
        <f t="shared" si="2"/>
        <v>303.96</v>
      </c>
    </row>
    <row r="15">
      <c r="A15" s="232" t="s">
        <v>310</v>
      </c>
      <c r="B15" s="216" t="s">
        <v>299</v>
      </c>
      <c r="C15" s="216">
        <v>0.15</v>
      </c>
      <c r="D15" s="216">
        <v>12.0</v>
      </c>
      <c r="E15" s="211">
        <f t="shared" si="1"/>
        <v>1.8</v>
      </c>
      <c r="F15" s="216">
        <v>9.0</v>
      </c>
      <c r="G15" s="211">
        <f t="shared" si="2"/>
        <v>16.2</v>
      </c>
    </row>
    <row r="16">
      <c r="A16" s="233"/>
      <c r="B16" s="216" t="s">
        <v>300</v>
      </c>
      <c r="C16" s="216">
        <v>1.15</v>
      </c>
      <c r="D16" s="216">
        <v>2.0</v>
      </c>
      <c r="E16" s="211">
        <f t="shared" si="1"/>
        <v>2.3</v>
      </c>
      <c r="F16" s="216">
        <v>9.0</v>
      </c>
      <c r="G16" s="211">
        <f t="shared" si="2"/>
        <v>20.7</v>
      </c>
    </row>
    <row r="17">
      <c r="A17" s="233"/>
      <c r="B17" s="216" t="s">
        <v>311</v>
      </c>
      <c r="C17" s="211">
        <f>160*12</f>
        <v>1920</v>
      </c>
      <c r="D17" s="216">
        <v>9.0</v>
      </c>
      <c r="E17" s="211">
        <f t="shared" si="1"/>
        <v>17280</v>
      </c>
      <c r="F17" s="216">
        <v>8.0</v>
      </c>
      <c r="G17" s="211">
        <f t="shared" si="2"/>
        <v>138240</v>
      </c>
    </row>
    <row r="18">
      <c r="A18" s="234"/>
      <c r="B18" s="216" t="s">
        <v>309</v>
      </c>
      <c r="C18" s="216">
        <v>0.745</v>
      </c>
      <c r="D18" s="216">
        <v>9.0</v>
      </c>
      <c r="E18" s="211">
        <f t="shared" si="1"/>
        <v>6.705</v>
      </c>
      <c r="F18" s="216">
        <v>8.0</v>
      </c>
      <c r="G18" s="211">
        <f t="shared" si="2"/>
        <v>53.64</v>
      </c>
    </row>
    <row r="19">
      <c r="A19" s="232" t="s">
        <v>312</v>
      </c>
      <c r="B19" s="216" t="s">
        <v>299</v>
      </c>
      <c r="C19" s="216">
        <v>0.15</v>
      </c>
      <c r="D19" s="216">
        <v>12.0</v>
      </c>
      <c r="E19" s="211">
        <f t="shared" si="1"/>
        <v>1.8</v>
      </c>
      <c r="F19" s="216">
        <v>9.0</v>
      </c>
      <c r="G19" s="211">
        <f t="shared" si="2"/>
        <v>16.2</v>
      </c>
    </row>
    <row r="20">
      <c r="A20" s="233"/>
      <c r="B20" s="216" t="s">
        <v>300</v>
      </c>
      <c r="C20" s="216">
        <v>1.15</v>
      </c>
      <c r="D20" s="216">
        <v>2.0</v>
      </c>
      <c r="E20" s="211">
        <f t="shared" si="1"/>
        <v>2.3</v>
      </c>
      <c r="F20" s="216">
        <v>9.0</v>
      </c>
      <c r="G20" s="211">
        <f t="shared" si="2"/>
        <v>20.7</v>
      </c>
    </row>
    <row r="21">
      <c r="A21" s="233"/>
      <c r="B21" s="216" t="s">
        <v>313</v>
      </c>
      <c r="C21" s="216">
        <v>0.5</v>
      </c>
      <c r="D21" s="216">
        <v>14.0</v>
      </c>
      <c r="E21" s="211">
        <f t="shared" si="1"/>
        <v>7</v>
      </c>
      <c r="F21" s="216">
        <v>8.0</v>
      </c>
      <c r="G21" s="211">
        <f t="shared" si="2"/>
        <v>56</v>
      </c>
    </row>
    <row r="22">
      <c r="A22" s="234"/>
      <c r="B22" s="216" t="s">
        <v>314</v>
      </c>
      <c r="C22" s="216">
        <v>1.5</v>
      </c>
      <c r="D22" s="216">
        <v>14.0</v>
      </c>
      <c r="E22" s="211">
        <f t="shared" si="1"/>
        <v>21</v>
      </c>
      <c r="F22" s="216">
        <v>8.0</v>
      </c>
      <c r="G22" s="211">
        <f t="shared" si="2"/>
        <v>168</v>
      </c>
    </row>
    <row r="23">
      <c r="A23" s="232" t="s">
        <v>265</v>
      </c>
      <c r="B23" s="216" t="s">
        <v>299</v>
      </c>
      <c r="C23" s="216">
        <v>0.15</v>
      </c>
      <c r="D23" s="216">
        <v>12.0</v>
      </c>
      <c r="E23" s="211">
        <f t="shared" si="1"/>
        <v>1.8</v>
      </c>
      <c r="F23" s="216">
        <v>9.0</v>
      </c>
      <c r="G23" s="211">
        <f t="shared" si="2"/>
        <v>16.2</v>
      </c>
    </row>
    <row r="24">
      <c r="A24" s="233"/>
      <c r="B24" s="216" t="s">
        <v>300</v>
      </c>
      <c r="C24" s="216">
        <v>1.15</v>
      </c>
      <c r="D24" s="216">
        <v>2.0</v>
      </c>
      <c r="E24" s="211">
        <f t="shared" si="1"/>
        <v>2.3</v>
      </c>
      <c r="F24" s="216">
        <v>9.0</v>
      </c>
      <c r="G24" s="211">
        <f t="shared" si="2"/>
        <v>20.7</v>
      </c>
    </row>
    <row r="25">
      <c r="A25" s="234"/>
      <c r="B25" s="216" t="s">
        <v>301</v>
      </c>
      <c r="C25" s="216">
        <v>27500.0</v>
      </c>
      <c r="D25" s="216">
        <v>1.0</v>
      </c>
      <c r="E25" s="211">
        <f t="shared" si="1"/>
        <v>27500</v>
      </c>
      <c r="F25" s="216">
        <v>8.0</v>
      </c>
      <c r="G25" s="211">
        <f t="shared" si="2"/>
        <v>220000</v>
      </c>
    </row>
    <row r="26">
      <c r="A26" s="232" t="s">
        <v>315</v>
      </c>
      <c r="B26" s="216" t="s">
        <v>299</v>
      </c>
      <c r="C26" s="216">
        <v>0.03</v>
      </c>
      <c r="D26" s="216">
        <v>5.0</v>
      </c>
      <c r="E26" s="211">
        <f t="shared" si="1"/>
        <v>0.15</v>
      </c>
      <c r="F26" s="216">
        <v>10.0</v>
      </c>
      <c r="G26" s="211">
        <f t="shared" si="2"/>
        <v>1.5</v>
      </c>
    </row>
    <row r="27">
      <c r="A27" s="234"/>
      <c r="B27" s="216" t="s">
        <v>300</v>
      </c>
      <c r="C27" s="216">
        <v>0.024</v>
      </c>
      <c r="D27" s="216">
        <v>5.0</v>
      </c>
      <c r="E27" s="211">
        <f t="shared" si="1"/>
        <v>0.12</v>
      </c>
      <c r="F27" s="216">
        <v>10.0</v>
      </c>
      <c r="G27" s="211">
        <f t="shared" si="2"/>
        <v>1.2</v>
      </c>
      <c r="I27" s="127" t="s">
        <v>303</v>
      </c>
    </row>
    <row r="28">
      <c r="A28" s="216" t="s">
        <v>316</v>
      </c>
      <c r="B28" s="216" t="s">
        <v>317</v>
      </c>
      <c r="C28" s="216">
        <v>0.05</v>
      </c>
      <c r="D28" s="216">
        <v>10.0</v>
      </c>
      <c r="E28" s="211">
        <f t="shared" si="1"/>
        <v>0.5</v>
      </c>
      <c r="F28" s="216">
        <v>14.0</v>
      </c>
      <c r="G28" s="211">
        <f t="shared" si="2"/>
        <v>7</v>
      </c>
    </row>
    <row r="29">
      <c r="A29" s="216" t="s">
        <v>318</v>
      </c>
      <c r="B29" s="211"/>
      <c r="C29" s="211"/>
      <c r="D29" s="211"/>
      <c r="E29" s="211"/>
      <c r="F29" s="211"/>
      <c r="G29" s="211">
        <f>SUM(G3:G28)</f>
        <v>783107.75</v>
      </c>
    </row>
    <row r="31">
      <c r="A31" s="235" t="s">
        <v>319</v>
      </c>
      <c r="B31" s="30"/>
      <c r="C31" s="31"/>
    </row>
    <row r="32">
      <c r="A32" s="236"/>
      <c r="B32" s="216" t="s">
        <v>320</v>
      </c>
      <c r="C32" s="216" t="s">
        <v>321</v>
      </c>
    </row>
    <row r="33">
      <c r="A33" s="236" t="s">
        <v>298</v>
      </c>
      <c r="B33" s="237">
        <v>12.0</v>
      </c>
      <c r="C33" s="216" t="s">
        <v>322</v>
      </c>
    </row>
    <row r="34">
      <c r="A34" s="236" t="s">
        <v>302</v>
      </c>
      <c r="B34" s="237">
        <v>12.0</v>
      </c>
      <c r="C34" s="216" t="s">
        <v>322</v>
      </c>
    </row>
    <row r="35">
      <c r="A35" s="236" t="s">
        <v>307</v>
      </c>
      <c r="B35" s="237">
        <v>12.0</v>
      </c>
      <c r="C35" s="216" t="s">
        <v>322</v>
      </c>
    </row>
    <row r="36">
      <c r="A36" s="236" t="s">
        <v>310</v>
      </c>
      <c r="B36" s="237">
        <v>12.0</v>
      </c>
      <c r="C36" s="216" t="s">
        <v>322</v>
      </c>
    </row>
    <row r="37">
      <c r="A37" s="236" t="s">
        <v>312</v>
      </c>
      <c r="B37" s="237">
        <v>12.0</v>
      </c>
      <c r="C37" s="216" t="s">
        <v>322</v>
      </c>
    </row>
    <row r="38">
      <c r="A38" s="236" t="s">
        <v>265</v>
      </c>
      <c r="B38" s="237">
        <v>12.0</v>
      </c>
      <c r="C38" s="216" t="s">
        <v>322</v>
      </c>
    </row>
    <row r="39">
      <c r="A39" s="236" t="s">
        <v>315</v>
      </c>
      <c r="B39" s="237">
        <v>5.0</v>
      </c>
      <c r="C39" s="216" t="s">
        <v>323</v>
      </c>
    </row>
    <row r="40">
      <c r="A40" s="236" t="s">
        <v>324</v>
      </c>
      <c r="B40" s="237">
        <v>10.0</v>
      </c>
      <c r="C40" s="216" t="s">
        <v>325</v>
      </c>
    </row>
    <row r="42">
      <c r="A42" s="238" t="s">
        <v>326</v>
      </c>
      <c r="B42" s="30"/>
      <c r="C42" s="30"/>
      <c r="D42" s="31"/>
    </row>
    <row r="43">
      <c r="A43" s="211"/>
      <c r="B43" s="239" t="s">
        <v>327</v>
      </c>
      <c r="C43" s="239" t="s">
        <v>328</v>
      </c>
      <c r="D43" s="239" t="s">
        <v>329</v>
      </c>
    </row>
    <row r="44">
      <c r="A44" s="240" t="s">
        <v>41</v>
      </c>
      <c r="B44" s="241">
        <f>68*2</f>
        <v>136</v>
      </c>
      <c r="C44" s="216">
        <v>4.0</v>
      </c>
      <c r="D44" s="211">
        <f t="shared" ref="D44:D48" si="3">C44*B44</f>
        <v>544</v>
      </c>
    </row>
    <row r="45">
      <c r="A45" s="240" t="s">
        <v>46</v>
      </c>
      <c r="B45" s="242">
        <v>100.0</v>
      </c>
      <c r="C45" s="216">
        <v>4.0</v>
      </c>
      <c r="D45" s="211">
        <f t="shared" si="3"/>
        <v>400</v>
      </c>
    </row>
    <row r="46">
      <c r="A46" s="240" t="s">
        <v>49</v>
      </c>
      <c r="B46" s="242">
        <v>98.0</v>
      </c>
      <c r="C46" s="216">
        <v>4.0</v>
      </c>
      <c r="D46" s="211">
        <f t="shared" si="3"/>
        <v>392</v>
      </c>
    </row>
    <row r="47">
      <c r="A47" s="240" t="s">
        <v>51</v>
      </c>
      <c r="B47" s="242">
        <v>310.0</v>
      </c>
      <c r="C47" s="216">
        <v>4.0</v>
      </c>
      <c r="D47" s="211">
        <f t="shared" si="3"/>
        <v>1240</v>
      </c>
    </row>
    <row r="48">
      <c r="A48" s="240" t="s">
        <v>53</v>
      </c>
      <c r="B48" s="242">
        <v>50.0</v>
      </c>
      <c r="C48" s="216">
        <v>4.0</v>
      </c>
      <c r="D48" s="211">
        <f t="shared" si="3"/>
        <v>200</v>
      </c>
    </row>
    <row r="49">
      <c r="A49" s="202" t="s">
        <v>330</v>
      </c>
      <c r="B49" s="30"/>
      <c r="C49" s="31"/>
      <c r="D49" s="211">
        <f>SUM(D44:D48)</f>
        <v>2776</v>
      </c>
    </row>
  </sheetData>
  <mergeCells count="11">
    <mergeCell ref="A26:A27"/>
    <mergeCell ref="A31:C31"/>
    <mergeCell ref="A42:D42"/>
    <mergeCell ref="A49:C49"/>
    <mergeCell ref="A1:G1"/>
    <mergeCell ref="A3:A5"/>
    <mergeCell ref="A6:A10"/>
    <mergeCell ref="A11:A14"/>
    <mergeCell ref="A15:A18"/>
    <mergeCell ref="A19:A22"/>
    <mergeCell ref="A23:A25"/>
  </mergeCells>
  <hyperlinks>
    <hyperlink r:id="rId1" ref="I7"/>
    <hyperlink r:id="rId2" ref="I27"/>
  </hyperlin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7.13"/>
    <col customWidth="1" min="3" max="3" width="25.5"/>
    <col customWidth="1" min="4" max="4" width="20.38"/>
  </cols>
  <sheetData>
    <row r="1">
      <c r="A1" s="243" t="s">
        <v>331</v>
      </c>
      <c r="C1" s="244"/>
    </row>
    <row r="2">
      <c r="A2" s="231" t="s">
        <v>217</v>
      </c>
      <c r="B2" s="31"/>
      <c r="C2" s="245"/>
    </row>
    <row r="3">
      <c r="A3" s="239" t="s">
        <v>332</v>
      </c>
      <c r="B3" s="216">
        <v>165.0</v>
      </c>
    </row>
    <row r="4">
      <c r="A4" s="246" t="s">
        <v>333</v>
      </c>
      <c r="B4" s="216">
        <v>0.135</v>
      </c>
    </row>
    <row r="5">
      <c r="A5" s="239" t="s">
        <v>334</v>
      </c>
      <c r="B5" s="211">
        <f>B3*B4</f>
        <v>22.275</v>
      </c>
    </row>
    <row r="6">
      <c r="A6" s="239" t="s">
        <v>335</v>
      </c>
      <c r="B6" s="211">
        <f>B5/2</f>
        <v>11.1375</v>
      </c>
    </row>
    <row r="8">
      <c r="A8" s="247" t="s">
        <v>336</v>
      </c>
      <c r="B8" s="247" t="s">
        <v>286</v>
      </c>
      <c r="C8" s="247" t="s">
        <v>294</v>
      </c>
      <c r="D8" s="247" t="s">
        <v>337</v>
      </c>
    </row>
    <row r="9">
      <c r="A9" s="239" t="s">
        <v>338</v>
      </c>
      <c r="B9" s="211">
        <f>B6</f>
        <v>11.1375</v>
      </c>
      <c r="C9" s="216">
        <v>83.0</v>
      </c>
      <c r="D9" s="216" t="s">
        <v>339</v>
      </c>
    </row>
    <row r="10">
      <c r="A10" s="239" t="s">
        <v>340</v>
      </c>
      <c r="B10" s="216">
        <v>15.0</v>
      </c>
      <c r="C10" s="216">
        <v>1.2</v>
      </c>
      <c r="D10" s="216" t="s">
        <v>341</v>
      </c>
    </row>
    <row r="11">
      <c r="A11" s="239" t="s">
        <v>342</v>
      </c>
      <c r="B11" s="216">
        <v>20.0</v>
      </c>
      <c r="C11" s="211"/>
      <c r="D11" s="216" t="s">
        <v>343</v>
      </c>
    </row>
    <row r="12">
      <c r="A12" s="239" t="s">
        <v>344</v>
      </c>
      <c r="B12" s="216"/>
      <c r="C12" s="211"/>
      <c r="D12" s="216" t="s">
        <v>345</v>
      </c>
    </row>
    <row r="13">
      <c r="A13" s="239" t="s">
        <v>346</v>
      </c>
      <c r="B13" s="216">
        <v>15.6</v>
      </c>
      <c r="C13" s="216">
        <v>13.0</v>
      </c>
      <c r="D13" s="216" t="s">
        <v>347</v>
      </c>
    </row>
    <row r="14">
      <c r="A14" s="239" t="s">
        <v>348</v>
      </c>
      <c r="B14" s="216">
        <v>4.0</v>
      </c>
      <c r="C14" s="216">
        <v>5.0</v>
      </c>
      <c r="D14" s="216" t="s">
        <v>349</v>
      </c>
    </row>
    <row r="15">
      <c r="A15" s="239" t="s">
        <v>350</v>
      </c>
      <c r="B15" s="216">
        <v>7.7</v>
      </c>
      <c r="C15" s="216">
        <v>11.0</v>
      </c>
      <c r="D15" s="211"/>
    </row>
    <row r="16">
      <c r="A16" s="4" t="s">
        <v>18</v>
      </c>
      <c r="B16" s="12">
        <f>SUM(B9:B15)</f>
        <v>73.4375</v>
      </c>
    </row>
    <row r="19">
      <c r="A19" s="248" t="s">
        <v>351</v>
      </c>
      <c r="B19" s="249"/>
      <c r="C19" s="249"/>
    </row>
    <row r="20">
      <c r="A20" s="250" t="s">
        <v>352</v>
      </c>
      <c r="B20" s="250" t="s">
        <v>353</v>
      </c>
      <c r="C20" s="250" t="s">
        <v>354</v>
      </c>
    </row>
    <row r="21">
      <c r="A21" s="250" t="s">
        <v>355</v>
      </c>
      <c r="B21" s="251">
        <v>125.0</v>
      </c>
      <c r="C21" s="251" t="s">
        <v>356</v>
      </c>
    </row>
    <row r="22">
      <c r="A22" s="250" t="s">
        <v>357</v>
      </c>
      <c r="B22" s="251">
        <v>15.0</v>
      </c>
      <c r="C22" s="251" t="s">
        <v>358</v>
      </c>
    </row>
    <row r="23">
      <c r="A23" s="250" t="s">
        <v>359</v>
      </c>
      <c r="B23" s="251">
        <v>25.0</v>
      </c>
      <c r="C23" s="251" t="s">
        <v>360</v>
      </c>
    </row>
    <row r="24">
      <c r="A24" s="250" t="s">
        <v>361</v>
      </c>
      <c r="B24" s="251">
        <v>8.0</v>
      </c>
      <c r="C24" s="251" t="s">
        <v>362</v>
      </c>
    </row>
    <row r="25">
      <c r="A25" s="250" t="s">
        <v>363</v>
      </c>
      <c r="B25" s="251">
        <v>20.0</v>
      </c>
      <c r="C25" s="251" t="s">
        <v>364</v>
      </c>
    </row>
    <row r="26">
      <c r="A26" s="250" t="s">
        <v>18</v>
      </c>
      <c r="B26" s="250">
        <f>SUM(B21:B25)</f>
        <v>193</v>
      </c>
      <c r="C26" s="211"/>
    </row>
    <row r="29">
      <c r="A29" s="248" t="s">
        <v>365</v>
      </c>
    </row>
    <row r="30">
      <c r="A30" s="252" t="s">
        <v>336</v>
      </c>
      <c r="B30" s="252" t="s">
        <v>353</v>
      </c>
      <c r="C30" s="252" t="s">
        <v>354</v>
      </c>
    </row>
    <row r="31">
      <c r="A31" s="252" t="s">
        <v>366</v>
      </c>
      <c r="B31" s="253">
        <v>20.0</v>
      </c>
      <c r="C31" s="253" t="s">
        <v>367</v>
      </c>
    </row>
    <row r="32">
      <c r="A32" s="252" t="s">
        <v>368</v>
      </c>
      <c r="B32" s="253">
        <v>10.0</v>
      </c>
      <c r="C32" s="253" t="s">
        <v>369</v>
      </c>
    </row>
    <row r="33">
      <c r="A33" s="252" t="s">
        <v>370</v>
      </c>
      <c r="B33" s="253">
        <v>5.0</v>
      </c>
      <c r="C33" s="253" t="s">
        <v>371</v>
      </c>
    </row>
    <row r="34">
      <c r="A34" s="252" t="s">
        <v>372</v>
      </c>
      <c r="B34" s="253">
        <v>15.0</v>
      </c>
      <c r="C34" s="253" t="s">
        <v>373</v>
      </c>
    </row>
    <row r="35">
      <c r="A35" s="252" t="s">
        <v>374</v>
      </c>
      <c r="B35" s="253">
        <v>10.0</v>
      </c>
      <c r="C35" s="253" t="s">
        <v>375</v>
      </c>
    </row>
    <row r="36">
      <c r="A36" s="252" t="s">
        <v>18</v>
      </c>
      <c r="B36" s="252">
        <f>SUM(B31:B35)</f>
        <v>60</v>
      </c>
    </row>
  </sheetData>
  <mergeCells count="3">
    <mergeCell ref="A1:B1"/>
    <mergeCell ref="A2:B2"/>
    <mergeCell ref="A29:C2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3" max="3" width="19.75"/>
  </cols>
  <sheetData>
    <row r="2">
      <c r="A2" s="37" t="s">
        <v>56</v>
      </c>
      <c r="B2" s="38"/>
      <c r="C2" s="38"/>
      <c r="D2" s="38"/>
      <c r="E2" s="38"/>
      <c r="F2" s="39"/>
    </row>
    <row r="3">
      <c r="A3" s="40" t="s">
        <v>0</v>
      </c>
      <c r="B3" s="41" t="s">
        <v>57</v>
      </c>
      <c r="C3" s="41" t="s">
        <v>58</v>
      </c>
      <c r="D3" s="41" t="s">
        <v>59</v>
      </c>
      <c r="E3" s="41" t="s">
        <v>60</v>
      </c>
      <c r="F3" s="41" t="s">
        <v>61</v>
      </c>
    </row>
    <row r="4">
      <c r="A4" s="34" t="s">
        <v>41</v>
      </c>
      <c r="B4" s="35">
        <v>4000.0</v>
      </c>
      <c r="C4" s="36" t="s">
        <v>62</v>
      </c>
      <c r="D4" s="42" t="s">
        <v>63</v>
      </c>
      <c r="E4" s="36" t="s">
        <v>64</v>
      </c>
      <c r="F4" s="42" t="s">
        <v>65</v>
      </c>
    </row>
    <row r="5">
      <c r="A5" s="34" t="s">
        <v>46</v>
      </c>
      <c r="B5" s="35">
        <v>5500.0</v>
      </c>
      <c r="C5" s="36" t="s">
        <v>66</v>
      </c>
      <c r="D5" s="254" t="s">
        <v>67</v>
      </c>
      <c r="E5" s="36" t="s">
        <v>68</v>
      </c>
      <c r="F5" s="42" t="s">
        <v>69</v>
      </c>
    </row>
    <row r="6">
      <c r="A6" s="34" t="s">
        <v>49</v>
      </c>
      <c r="B6" s="35">
        <v>2500.0</v>
      </c>
      <c r="C6" s="36" t="s">
        <v>70</v>
      </c>
      <c r="D6" s="254" t="s">
        <v>71</v>
      </c>
      <c r="E6" s="36" t="s">
        <v>72</v>
      </c>
      <c r="F6" s="42" t="s">
        <v>73</v>
      </c>
    </row>
    <row r="7">
      <c r="A7" s="34" t="s">
        <v>51</v>
      </c>
      <c r="B7" s="35">
        <v>8000.0</v>
      </c>
      <c r="C7" s="36" t="s">
        <v>74</v>
      </c>
      <c r="D7" s="254" t="s">
        <v>75</v>
      </c>
      <c r="E7" s="36" t="s">
        <v>76</v>
      </c>
      <c r="F7" s="42" t="s">
        <v>77</v>
      </c>
    </row>
    <row r="8">
      <c r="A8" s="43" t="s">
        <v>53</v>
      </c>
      <c r="B8" s="44">
        <v>6000.0</v>
      </c>
      <c r="C8" s="45" t="s">
        <v>78</v>
      </c>
      <c r="D8" s="255" t="s">
        <v>79</v>
      </c>
      <c r="E8" s="45" t="s">
        <v>80</v>
      </c>
      <c r="F8" s="46" t="s">
        <v>81</v>
      </c>
    </row>
    <row r="9">
      <c r="A9" s="47" t="s">
        <v>82</v>
      </c>
      <c r="B9" s="48">
        <v>26000.0</v>
      </c>
      <c r="C9" s="48" t="s">
        <v>83</v>
      </c>
      <c r="D9" s="256">
        <v>4.73</v>
      </c>
      <c r="E9" s="48" t="s">
        <v>84</v>
      </c>
      <c r="F9" s="50" t="s">
        <v>85</v>
      </c>
    </row>
    <row r="10">
      <c r="A10" s="51"/>
      <c r="B10" s="1"/>
      <c r="C10" s="1"/>
      <c r="D10" s="1"/>
      <c r="E10" s="1"/>
      <c r="F10" s="52"/>
    </row>
    <row r="11">
      <c r="A11" s="47" t="s">
        <v>87</v>
      </c>
      <c r="B11" s="53" t="s">
        <v>88</v>
      </c>
      <c r="C11" s="26"/>
      <c r="D11" s="1"/>
      <c r="E11" s="1"/>
      <c r="F11" s="52"/>
    </row>
    <row r="12">
      <c r="A12" s="54" t="s">
        <v>89</v>
      </c>
      <c r="B12" s="55">
        <v>150.0</v>
      </c>
      <c r="C12" s="56"/>
      <c r="D12" s="56"/>
      <c r="E12" s="56"/>
      <c r="F12" s="57"/>
    </row>
    <row r="14">
      <c r="A14" s="4" t="s">
        <v>376</v>
      </c>
      <c r="B14" s="12">
        <f>D9*1000</f>
        <v>4730</v>
      </c>
    </row>
    <row r="15">
      <c r="A15" s="4" t="s">
        <v>377</v>
      </c>
      <c r="B15" s="12">
        <f>B14*3</f>
        <v>14190</v>
      </c>
    </row>
    <row r="16">
      <c r="A16" s="248" t="s">
        <v>378</v>
      </c>
    </row>
    <row r="17">
      <c r="A17" s="252" t="s">
        <v>336</v>
      </c>
      <c r="B17" s="252" t="s">
        <v>379</v>
      </c>
    </row>
    <row r="18">
      <c r="A18" s="252" t="s">
        <v>380</v>
      </c>
      <c r="B18" s="253" t="s">
        <v>381</v>
      </c>
    </row>
    <row r="19">
      <c r="A19" s="252" t="s">
        <v>382</v>
      </c>
      <c r="B19" s="253" t="s">
        <v>383</v>
      </c>
    </row>
    <row r="20">
      <c r="A20" s="252" t="s">
        <v>119</v>
      </c>
      <c r="B20" s="257" t="s">
        <v>384</v>
      </c>
    </row>
    <row r="21">
      <c r="A21" s="252" t="s">
        <v>385</v>
      </c>
      <c r="B21" s="253" t="s">
        <v>386</v>
      </c>
    </row>
    <row r="22">
      <c r="A22" s="252" t="s">
        <v>387</v>
      </c>
      <c r="B22" s="253" t="s">
        <v>388</v>
      </c>
    </row>
  </sheetData>
  <mergeCells count="8">
    <mergeCell ref="A2:F2"/>
    <mergeCell ref="A16:C16"/>
    <mergeCell ref="B17:C17"/>
    <mergeCell ref="B18:C18"/>
    <mergeCell ref="B19:C19"/>
    <mergeCell ref="B20:C20"/>
    <mergeCell ref="B21:C21"/>
    <mergeCell ref="B22:C2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14.88"/>
    <col customWidth="1" min="3" max="3" width="13.5"/>
  </cols>
  <sheetData>
    <row r="1">
      <c r="A1" s="258" t="s">
        <v>389</v>
      </c>
      <c r="B1" s="31"/>
    </row>
    <row r="2">
      <c r="A2" s="216" t="s">
        <v>390</v>
      </c>
      <c r="B2" s="216" t="s">
        <v>391</v>
      </c>
    </row>
    <row r="3">
      <c r="A3" s="193" t="s">
        <v>392</v>
      </c>
      <c r="B3" s="216">
        <v>5.0</v>
      </c>
    </row>
    <row r="4">
      <c r="A4" s="216" t="s">
        <v>393</v>
      </c>
      <c r="B4" s="216">
        <v>1.0</v>
      </c>
    </row>
    <row r="5">
      <c r="A5" s="216" t="s">
        <v>394</v>
      </c>
      <c r="B5" s="216">
        <v>4.0</v>
      </c>
    </row>
    <row r="6">
      <c r="A6" s="193" t="s">
        <v>395</v>
      </c>
      <c r="B6" s="216">
        <v>3.0</v>
      </c>
    </row>
    <row r="7">
      <c r="A7" s="259" t="s">
        <v>396</v>
      </c>
      <c r="B7" s="216">
        <v>1.0</v>
      </c>
    </row>
    <row r="8">
      <c r="A8" s="216" t="s">
        <v>397</v>
      </c>
      <c r="B8" s="216">
        <v>2.0</v>
      </c>
    </row>
    <row r="9">
      <c r="A9" s="193" t="s">
        <v>398</v>
      </c>
      <c r="B9" s="216">
        <v>1.0</v>
      </c>
    </row>
    <row r="10">
      <c r="A10" s="216" t="s">
        <v>399</v>
      </c>
      <c r="B10" s="216">
        <v>1.0</v>
      </c>
    </row>
    <row r="11">
      <c r="A11" s="193" t="s">
        <v>400</v>
      </c>
      <c r="B11" s="216">
        <v>5.0</v>
      </c>
    </row>
    <row r="12">
      <c r="A12" s="216" t="s">
        <v>401</v>
      </c>
      <c r="B12" s="216">
        <v>1.0</v>
      </c>
    </row>
    <row r="13">
      <c r="A13" s="216" t="s">
        <v>402</v>
      </c>
      <c r="B13" s="216">
        <v>2.0</v>
      </c>
    </row>
    <row r="14">
      <c r="A14" s="216" t="s">
        <v>403</v>
      </c>
      <c r="B14" s="216">
        <v>2.0</v>
      </c>
    </row>
    <row r="15">
      <c r="A15" s="193" t="s">
        <v>404</v>
      </c>
      <c r="B15" s="216">
        <v>1.0</v>
      </c>
    </row>
    <row r="16">
      <c r="A16" s="216" t="s">
        <v>405</v>
      </c>
      <c r="B16" s="216">
        <v>1.0</v>
      </c>
    </row>
    <row r="17">
      <c r="A17" s="193" t="s">
        <v>406</v>
      </c>
      <c r="B17" s="216">
        <v>2.0</v>
      </c>
    </row>
    <row r="18">
      <c r="A18" s="216" t="s">
        <v>407</v>
      </c>
      <c r="B18" s="216">
        <v>1.0</v>
      </c>
    </row>
    <row r="19">
      <c r="A19" s="216" t="s">
        <v>408</v>
      </c>
      <c r="B19" s="216">
        <v>1.0</v>
      </c>
    </row>
    <row r="22">
      <c r="A22" s="260" t="s">
        <v>409</v>
      </c>
      <c r="B22" s="260" t="s">
        <v>410</v>
      </c>
      <c r="C22" s="260" t="s">
        <v>411</v>
      </c>
    </row>
    <row r="23">
      <c r="A23" s="239" t="s">
        <v>412</v>
      </c>
      <c r="B23" s="216">
        <v>8.0</v>
      </c>
      <c r="C23" s="216">
        <v>4.0</v>
      </c>
    </row>
    <row r="24">
      <c r="A24" s="239" t="s">
        <v>151</v>
      </c>
      <c r="B24" s="216">
        <v>2.0</v>
      </c>
      <c r="C24" s="216">
        <v>2.0</v>
      </c>
    </row>
    <row r="25">
      <c r="A25" s="239" t="s">
        <v>413</v>
      </c>
      <c r="B25" s="216">
        <v>51.0</v>
      </c>
      <c r="C25" s="216">
        <v>19.0</v>
      </c>
    </row>
    <row r="26">
      <c r="A26" s="239" t="s">
        <v>414</v>
      </c>
      <c r="B26" s="216">
        <v>9.0</v>
      </c>
      <c r="C26" s="216">
        <v>3.0</v>
      </c>
    </row>
    <row r="27">
      <c r="A27" s="239" t="s">
        <v>415</v>
      </c>
      <c r="B27" s="216">
        <v>7.0</v>
      </c>
      <c r="C27" s="216">
        <v>35.0</v>
      </c>
    </row>
  </sheetData>
  <mergeCells count="1">
    <mergeCell ref="A1:B1"/>
  </mergeCells>
  <drawing r:id="rId1"/>
</worksheet>
</file>