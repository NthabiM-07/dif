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Demand" sheetId="2" state="visible" r:id="rId4"/>
    <sheet name="Capacity" sheetId="3" state="visible" r:id="rId5"/>
    <sheet name="Equipment-dep" sheetId="4" state="visible" r:id="rId6"/>
    <sheet name="RawMaterials" sheetId="5" state="visible" r:id="rId7"/>
    <sheet name="Inventory_Pack" sheetId="6" state="visible" r:id="rId8"/>
    <sheet name="Storage_3D" sheetId="7" state="visible" r:id="rId9"/>
    <sheet name="Personnel" sheetId="8" state="visible" r:id="rId10"/>
    <sheet name="Parking" sheetId="9" state="visible" r:id="rId11"/>
    <sheet name="Space_Summary" sheetId="10" state="visible" r:id="rId12"/>
    <sheet name="Machinery" sheetId="11" state="visible" r:id="rId13"/>
    <sheet name="Evaluation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<sst xmlns="http://schemas.openxmlformats.org/spreadsheetml/2006/main" count="563" uniqueCount="371">
  <si>
    <t xml:space="preserve">DigMore Folding Mini Shovel - Facility Design Calculations (single source of truth)</t>
  </si>
  <si>
    <t xml:space="preserve">Blue = input you can change; black = formula; green = link from another sheet. Yellow = key designer assumption to confirm.</t>
  </si>
  <si>
    <t xml:space="preserve">Parameter</t>
  </si>
  <si>
    <t xml:space="preserve">Value</t>
  </si>
  <si>
    <t xml:space="preserve">Unit</t>
  </si>
  <si>
    <t xml:space="preserve">Note / source</t>
  </si>
  <si>
    <t xml:space="preserve">Annual demand</t>
  </si>
  <si>
    <t xml:space="preserve">shovels/yr</t>
  </si>
  <si>
    <t xml:space="preserve">2026 brief</t>
  </si>
  <si>
    <t xml:space="preserve">Workdays per year</t>
  </si>
  <si>
    <t xml:space="preserve">days</t>
  </si>
  <si>
    <t xml:space="preserve">Daily demand (good)</t>
  </si>
  <si>
    <t xml:space="preserve">shovels/day</t>
  </si>
  <si>
    <t xml:space="preserve">rounded up</t>
  </si>
  <si>
    <t xml:space="preserve">Shift length</t>
  </si>
  <si>
    <t xml:space="preserve">min</t>
  </si>
  <si>
    <t xml:space="preserve">9 h (brief)</t>
  </si>
  <si>
    <t xml:space="preserve">Breaks</t>
  </si>
  <si>
    <t xml:space="preserve">30+15+15 (brief)</t>
  </si>
  <si>
    <t xml:space="preserve">Effective time</t>
  </si>
  <si>
    <t xml:space="preserve">min/day</t>
  </si>
  <si>
    <t xml:space="preserve">shift - breaks</t>
  </si>
  <si>
    <t xml:space="preserve">Availability allowance</t>
  </si>
  <si>
    <t xml:space="preserve">fraction</t>
  </si>
  <si>
    <t xml:space="preserve">setup/changeover/stoppages</t>
  </si>
  <si>
    <t xml:space="preserve">Productive time / machine</t>
  </si>
  <si>
    <t xml:space="preserve">effective x availability</t>
  </si>
  <si>
    <t xml:space="preserve">Takt time</t>
  </si>
  <si>
    <t xml:space="preserve">s/shovel</t>
  </si>
  <si>
    <t xml:space="preserve">effective/daily demand</t>
  </si>
  <si>
    <t xml:space="preserve">Scrap rate (cut &amp; stamp)</t>
  </si>
  <si>
    <t xml:space="preserve">brief (those two steps)</t>
  </si>
  <si>
    <t xml:space="preserve">Yield</t>
  </si>
  <si>
    <t xml:space="preserve">1 - scrap</t>
  </si>
  <si>
    <t xml:space="preserve">Pipes per cut</t>
  </si>
  <si>
    <t xml:space="preserve">pipes</t>
  </si>
  <si>
    <t xml:space="preserve">bundle cutting raises this</t>
  </si>
  <si>
    <t xml:space="preserve">Operators per machine</t>
  </si>
  <si>
    <t xml:space="preserve">-</t>
  </si>
  <si>
    <t xml:space="preserve">baseline 1:1</t>
  </si>
  <si>
    <t xml:space="preserve">Packaging cycle (assumed)</t>
  </si>
  <si>
    <t xml:space="preserve">brief: workstation-dependent</t>
  </si>
  <si>
    <t xml:space="preserve">Tube stock length</t>
  </si>
  <si>
    <t xml:space="preserve">m</t>
  </si>
  <si>
    <t xml:space="preserve">to verify with supplier</t>
  </si>
  <si>
    <t xml:space="preserve">Handle section length</t>
  </si>
  <si>
    <t xml:space="preserve">brief (150 mm)</t>
  </si>
  <si>
    <t xml:space="preserve">Sections per tube</t>
  </si>
  <si>
    <t xml:space="preserve">sections</t>
  </si>
  <si>
    <t xml:space="preserve">kerf ignored</t>
  </si>
  <si>
    <t xml:space="preserve">Tube sections per shovel</t>
  </si>
  <si>
    <t xml:space="preserve">back + middle</t>
  </si>
  <si>
    <t xml:space="preserve">Sheet length</t>
  </si>
  <si>
    <t xml:space="preserve">standard sheet (assumption)</t>
  </si>
  <si>
    <t xml:space="preserve">Sheet width</t>
  </si>
  <si>
    <t xml:space="preserve">Nesting efficiency</t>
  </si>
  <si>
    <t xml:space="preserve">assumption</t>
  </si>
  <si>
    <t xml:space="preserve">Head blank length</t>
  </si>
  <si>
    <t xml:space="preserve">finished 150 + allowance (assumption)</t>
  </si>
  <si>
    <t xml:space="preserve">Head blank width</t>
  </si>
  <si>
    <t xml:space="preserve">finished 120 + allowance (assumption)</t>
  </si>
  <si>
    <t xml:space="preserve">Hinge blank length</t>
  </si>
  <si>
    <t xml:space="preserve">Hinge blank width</t>
  </si>
  <si>
    <t xml:space="preserve">Raw material cover</t>
  </si>
  <si>
    <t xml:space="preserve">2 weeks (brief)</t>
  </si>
  <si>
    <t xml:space="preserve">Finished goods cover</t>
  </si>
  <si>
    <t xml:space="preserve">4 weeks (brief)</t>
  </si>
  <si>
    <t xml:space="preserve">WIP buffer</t>
  </si>
  <si>
    <t xml:space="preserve">about one shift (assumption)</t>
  </si>
  <si>
    <t xml:space="preserve">Units per box</t>
  </si>
  <si>
    <t xml:space="preserve">shovels</t>
  </si>
  <si>
    <t xml:space="preserve">Boxes per pallet</t>
  </si>
  <si>
    <t xml:space="preserve">boxes</t>
  </si>
  <si>
    <t xml:space="preserve">Units per pallet</t>
  </si>
  <si>
    <t xml:space="preserve">box x pallet</t>
  </si>
  <si>
    <t xml:space="preserve">Pallet length</t>
  </si>
  <si>
    <t xml:space="preserve">standard (assumption)</t>
  </si>
  <si>
    <t xml:space="preserve">Pallet width</t>
  </si>
  <si>
    <t xml:space="preserve">Pallet footprint</t>
  </si>
  <si>
    <t xml:space="preserve">m2</t>
  </si>
  <si>
    <t xml:space="preserve">Storage levels (racking)</t>
  </si>
  <si>
    <t xml:space="preserve">Tubes per cantilever rack</t>
  </si>
  <si>
    <t xml:space="preserve">tubes</t>
  </si>
  <si>
    <t xml:space="preserve">Cantilever rack footprint</t>
  </si>
  <si>
    <t xml:space="preserve">6 m x 1 m (assumption)</t>
  </si>
  <si>
    <t xml:space="preserve">Sheets per stack</t>
  </si>
  <si>
    <t xml:space="preserve">sheets</t>
  </si>
  <si>
    <t xml:space="preserve">Storage aisle factor</t>
  </si>
  <si>
    <t xml:space="preserve">floor area x this (assumption)</t>
  </si>
  <si>
    <t xml:space="preserve">Heat-treat cycle</t>
  </si>
  <si>
    <t xml:space="preserve">h</t>
  </si>
  <si>
    <t xml:space="preserve">T6 ageing 5-8 h (supplier)</t>
  </si>
  <si>
    <t xml:space="preserve">Powder line rate</t>
  </si>
  <si>
    <t xml:space="preserve">parts/h</t>
  </si>
  <si>
    <t xml:space="preserve">typical conveyor (supplier)</t>
  </si>
  <si>
    <t xml:space="preserve">Coated items per shovel</t>
  </si>
  <si>
    <t xml:space="preserve">items</t>
  </si>
  <si>
    <t xml:space="preserve">2 handles + 1 subassembly</t>
  </si>
  <si>
    <t xml:space="preserve">Area per workstation</t>
  </si>
  <si>
    <t xml:space="preserve">incl operator space (assumption)</t>
  </si>
  <si>
    <t xml:space="preserve">Circulation / aisle allowance</t>
  </si>
  <si>
    <t xml:space="preserve">Future expansion</t>
  </si>
  <si>
    <t xml:space="preserve">brief (~10%)</t>
  </si>
  <si>
    <t xml:space="preserve">Powder-coat area (enclosed)</t>
  </si>
  <si>
    <t xml:space="preserve">supplier-based estimate</t>
  </si>
  <si>
    <t xml:space="preserve">Heat-treat + sandblast area</t>
  </si>
  <si>
    <t xml:space="preserve">Scrap / waste store</t>
  </si>
  <si>
    <t xml:space="preserve">Receiving + dispatch area</t>
  </si>
  <si>
    <t xml:space="preserve">docks + staging (assumption)</t>
  </si>
  <si>
    <t xml:space="preserve">Office area per office worker</t>
  </si>
  <si>
    <t xml:space="preserve">Amenity area per employee</t>
  </si>
  <si>
    <t xml:space="preserve">lockers/restrooms/cafeteria (assumption)</t>
  </si>
  <si>
    <t xml:space="preserve">Parking bays per employee</t>
  </si>
  <si>
    <t xml:space="preserve">brief: all personnel</t>
  </si>
  <si>
    <t xml:space="preserve">Visitor + collection bays</t>
  </si>
  <si>
    <t xml:space="preserve">bays</t>
  </si>
  <si>
    <t xml:space="preserve">Area per parking bay</t>
  </si>
  <si>
    <t xml:space="preserve">bay + aisle (assumption)</t>
  </si>
  <si>
    <t xml:space="preserve">Truck fleet bays</t>
  </si>
  <si>
    <t xml:space="preserve">own fleet (assumption)</t>
  </si>
  <si>
    <t xml:space="preserve">Area per truck bay</t>
  </si>
  <si>
    <t xml:space="preserve">incl manoeuvre (assumption)</t>
  </si>
  <si>
    <t xml:space="preserve">Demand and production requirement</t>
  </si>
  <si>
    <t xml:space="preserve">Measure</t>
  </si>
  <si>
    <t xml:space="preserve">Basis</t>
  </si>
  <si>
    <t xml:space="preserve">brief</t>
  </si>
  <si>
    <t xml:space="preserve">Workdays</t>
  </si>
  <si>
    <t xml:space="preserve">annual/days, round up</t>
  </si>
  <si>
    <t xml:space="preserve">Hourly demand</t>
  </si>
  <si>
    <t xml:space="preserve">shovels/h</t>
  </si>
  <si>
    <t xml:space="preserve">daily/effective hours</t>
  </si>
  <si>
    <t xml:space="preserve">effective/daily</t>
  </si>
  <si>
    <t xml:space="preserve">Part-level daily requirement</t>
  </si>
  <si>
    <t xml:space="preserve">Part</t>
  </si>
  <si>
    <t xml:space="preserve">Per shovel</t>
  </si>
  <si>
    <t xml:space="preserve">Good/day</t>
  </si>
  <si>
    <t xml:space="preserve">Gross/day (if scrap step)</t>
  </si>
  <si>
    <t xml:space="preserve">Back handle section (tube)</t>
  </si>
  <si>
    <t xml:space="preserve">Middle handle section (tube)</t>
  </si>
  <si>
    <t xml:space="preserve">Handle sections cut (tube)</t>
  </si>
  <si>
    <t xml:space="preserve">Shovel head (sheet)</t>
  </si>
  <si>
    <t xml:space="preserve">Hinge connector (sheet)</t>
  </si>
  <si>
    <t xml:space="preserve">Per-process capacity: machines and operators</t>
  </si>
  <si>
    <t xml:space="preserve">Process</t>
  </si>
  <si>
    <t xml:space="preserve">Units/shovel</t>
  </si>
  <si>
    <t xml:space="preserve">Scrap?</t>
  </si>
  <si>
    <t xml:space="preserve">Daily good</t>
  </si>
  <si>
    <t xml:space="preserve">Scrap factor</t>
  </si>
  <si>
    <t xml:space="preserve">Daily gross</t>
  </si>
  <si>
    <t xml:space="preserve">Pieces/op</t>
  </si>
  <si>
    <t xml:space="preserve">Ops/day</t>
  </si>
  <si>
    <t xml:space="preserve">Cycle (s)</t>
  </si>
  <si>
    <t xml:space="preserve">Time (min/day)</t>
  </si>
  <si>
    <t xml:space="preserve">Prod min/mach</t>
  </si>
  <si>
    <t xml:space="preserve">Machines</t>
  </si>
  <si>
    <t xml:space="preserve">Util.</t>
  </si>
  <si>
    <t xml:space="preserve">Operators</t>
  </si>
  <si>
    <t xml:space="preserve">Note</t>
  </si>
  <si>
    <t xml:space="preserve">Cut handle</t>
  </si>
  <si>
    <t xml:space="preserve">per cut</t>
  </si>
  <si>
    <t xml:space="preserve">Yes</t>
  </si>
  <si>
    <t xml:space="preserve">5% scrap; pipes/cut from equipment</t>
  </si>
  <si>
    <t xml:space="preserve">Internal thread (middle)</t>
  </si>
  <si>
    <t xml:space="preserve">per pipe</t>
  </si>
  <si>
    <t xml:space="preserve">No</t>
  </si>
  <si>
    <t xml:space="preserve">1</t>
  </si>
  <si>
    <t xml:space="preserve">Stamp / narrow end (grip)</t>
  </si>
  <si>
    <t xml:space="preserve">Knurl + external thread (grip)</t>
  </si>
  <si>
    <t xml:space="preserve">thread rolling can cut this</t>
  </si>
  <si>
    <t xml:space="preserve">Stamp shovel head</t>
  </si>
  <si>
    <t xml:space="preserve">per part</t>
  </si>
  <si>
    <t xml:space="preserve">5% scrap</t>
  </si>
  <si>
    <t xml:space="preserve">Shape / bend head</t>
  </si>
  <si>
    <t xml:space="preserve">per head</t>
  </si>
  <si>
    <t xml:space="preserve">Sharpen blade</t>
  </si>
  <si>
    <t xml:space="preserve">per shovel</t>
  </si>
  <si>
    <t xml:space="preserve">main bottleneck</t>
  </si>
  <si>
    <t xml:space="preserve">Serrate edge</t>
  </si>
  <si>
    <t xml:space="preserve">Stamp hinge connector</t>
  </si>
  <si>
    <t xml:space="preserve">Bend hinge connector</t>
  </si>
  <si>
    <t xml:space="preserve">Rivet hinge to head</t>
  </si>
  <si>
    <t xml:space="preserve">Hand polish / deburr</t>
  </si>
  <si>
    <t xml:space="preserve">Final assembly</t>
  </si>
  <si>
    <t xml:space="preserve">Packaging (hand + check)</t>
  </si>
  <si>
    <t xml:space="preserve">cycle is an assumption</t>
  </si>
  <si>
    <t xml:space="preserve">TOTAL (line processes)</t>
  </si>
  <si>
    <t xml:space="preserve">Equipment-dependent processes (no brief cycle time)</t>
  </si>
  <si>
    <t xml:space="preserve">Powder coating (conveyorised, enclosed)</t>
  </si>
  <si>
    <t xml:space="preserve">Coated items per day</t>
  </si>
  <si>
    <t xml:space="preserve">items/day</t>
  </si>
  <si>
    <t xml:space="preserve">Assumed line rate</t>
  </si>
  <si>
    <t xml:space="preserve">Hours needed</t>
  </si>
  <si>
    <t xml:space="preserve">h/day</t>
  </si>
  <si>
    <t xml:space="preserve">Productive hours/shift</t>
  </si>
  <si>
    <t xml:space="preserve">Powder lines required</t>
  </si>
  <si>
    <t xml:space="preserve">lines</t>
  </si>
  <si>
    <t xml:space="preserve">At 600 parts/h the line exceeds one shift; ~760 parts/h or a second line needed.</t>
  </si>
  <si>
    <t xml:space="preserve">Heat treatment (T6 ageing, batch oven)</t>
  </si>
  <si>
    <t xml:space="preserve">Subassemblies per day</t>
  </si>
  <si>
    <t xml:space="preserve">Assumed cycle</t>
  </si>
  <si>
    <t xml:space="preserve">h/batch</t>
  </si>
  <si>
    <t xml:space="preserve">Ageing ovens (assumed)</t>
  </si>
  <si>
    <t xml:space="preserve">ovens</t>
  </si>
  <si>
    <t xml:space="preserve">Oven sized to ~1 day of subassemblies; runs across/after the shift. Supplier-based; verify.</t>
  </si>
  <si>
    <t xml:space="preserve">Sandblasting (enclosed booth)</t>
  </si>
  <si>
    <t xml:space="preserve">Heads per day</t>
  </si>
  <si>
    <t xml:space="preserve">Throughput and booth count: supplier-based estimate required.</t>
  </si>
  <si>
    <t xml:space="preserve">Raw material requirements</t>
  </si>
  <si>
    <t xml:space="preserve">Aluminium round tube</t>
  </si>
  <si>
    <t xml:space="preserve">Sections per shovel</t>
  </si>
  <si>
    <t xml:space="preserve">Good sections/day</t>
  </si>
  <si>
    <t xml:space="preserve">sections/day</t>
  </si>
  <si>
    <t xml:space="preserve">Gross sections/day (scrap)</t>
  </si>
  <si>
    <t xml:space="preserve">Sections per 6 m tube</t>
  </si>
  <si>
    <t xml:space="preserve">Tubes per day</t>
  </si>
  <si>
    <t xml:space="preserve">tubes/day</t>
  </si>
  <si>
    <t xml:space="preserve">Tubes for 2 weeks</t>
  </si>
  <si>
    <t xml:space="preserve">Aluminium sheet</t>
  </si>
  <si>
    <t xml:space="preserve">Sheet area</t>
  </si>
  <si>
    <t xml:space="preserve">Head blank area</t>
  </si>
  <si>
    <t xml:space="preserve">Hinge blank area</t>
  </si>
  <si>
    <t xml:space="preserve">Heads per sheet (nested)</t>
  </si>
  <si>
    <t xml:space="preserve">parts</t>
  </si>
  <si>
    <t xml:space="preserve">Hinges per sheet (nested)</t>
  </si>
  <si>
    <t xml:space="preserve">Gross heads/day</t>
  </si>
  <si>
    <t xml:space="preserve">parts/day</t>
  </si>
  <si>
    <t xml:space="preserve">Gross hinges/day</t>
  </si>
  <si>
    <t xml:space="preserve">Sheets/day (heads)</t>
  </si>
  <si>
    <t xml:space="preserve">sheets/day</t>
  </si>
  <si>
    <t xml:space="preserve">Sheets/day (hinges)</t>
  </si>
  <si>
    <t xml:space="preserve">Total sheets/day</t>
  </si>
  <si>
    <t xml:space="preserve">Sheets for 2 weeks</t>
  </si>
  <si>
    <t xml:space="preserve">Inventory levels and packaging unit loads</t>
  </si>
  <si>
    <t xml:space="preserve">Inventory (shovel-equivalents)</t>
  </si>
  <si>
    <t xml:space="preserve">Raw material on hand (2 wk)</t>
  </si>
  <si>
    <t xml:space="preserve">Finished goods (4 wk)</t>
  </si>
  <si>
    <t xml:space="preserve">WIP buffer (~1 shift)</t>
  </si>
  <si>
    <t xml:space="preserve">Packaging and order definitions</t>
  </si>
  <si>
    <t xml:space="preserve">Boxes per day</t>
  </si>
  <si>
    <t xml:space="preserve">boxes/day</t>
  </si>
  <si>
    <t xml:space="preserve">Pallets per day</t>
  </si>
  <si>
    <t xml:space="preserve">pallets/day</t>
  </si>
  <si>
    <t xml:space="preserve">Small order (&lt;= 1 pallet)</t>
  </si>
  <si>
    <t xml:space="preserve">shovels max</t>
  </si>
  <si>
    <t xml:space="preserve">Large order (&gt; 1 pallet)</t>
  </si>
  <si>
    <t xml:space="preserve">&gt;Inputs!$C$35</t>
  </si>
  <si>
    <t xml:space="preserve">Storage sizing (3D footprint)</t>
  </si>
  <si>
    <t xml:space="preserve">Store</t>
  </si>
  <si>
    <t xml:space="preserve">Items</t>
  </si>
  <si>
    <t xml:space="preserve">Racks/positions</t>
  </si>
  <si>
    <t xml:space="preserve">Floor area (m2)</t>
  </si>
  <si>
    <t xml:space="preserve">Raw tube</t>
  </si>
  <si>
    <t xml:space="preserve">cantilever racks</t>
  </si>
  <si>
    <t xml:space="preserve">Raw sheet</t>
  </si>
  <si>
    <t xml:space="preserve">sheet stacks</t>
  </si>
  <si>
    <t xml:space="preserve">Finished goods</t>
  </si>
  <si>
    <t xml:space="preserve">palletised, racked</t>
  </si>
  <si>
    <t xml:space="preserve">WIP staging</t>
  </si>
  <si>
    <t xml:space="preserve">decoupling buffers</t>
  </si>
  <si>
    <t xml:space="preserve">Scrap / waste</t>
  </si>
  <si>
    <t xml:space="preserve">Total storage area</t>
  </si>
  <si>
    <t xml:space="preserve">Personnel (headcount)</t>
  </si>
  <si>
    <t xml:space="preserve">Category / role</t>
  </si>
  <si>
    <t xml:space="preserve">Number</t>
  </si>
  <si>
    <t xml:space="preserve">Senior Plant Manager</t>
  </si>
  <si>
    <t xml:space="preserve">Operations Manager</t>
  </si>
  <si>
    <t xml:space="preserve">Inventory Manager</t>
  </si>
  <si>
    <t xml:space="preserve">Reception</t>
  </si>
  <si>
    <t xml:space="preserve">Purchasing</t>
  </si>
  <si>
    <t xml:space="preserve">Sales</t>
  </si>
  <si>
    <t xml:space="preserve">brief (assumed count)</t>
  </si>
  <si>
    <t xml:space="preserve">Finance</t>
  </si>
  <si>
    <t xml:space="preserve">Marketing</t>
  </si>
  <si>
    <t xml:space="preserve">Human Resources</t>
  </si>
  <si>
    <t xml:space="preserve">Plant supervisors</t>
  </si>
  <si>
    <t xml:space="preserve">~1 per dept (assumption)</t>
  </si>
  <si>
    <t xml:space="preserve">Security</t>
  </si>
  <si>
    <t xml:space="preserve">Material handlers / forklift</t>
  </si>
  <si>
    <t xml:space="preserve">Equipment-dep &amp; QA operators</t>
  </si>
  <si>
    <t xml:space="preserve">heat/sandblast/powder/inspection (assumption)</t>
  </si>
  <si>
    <t xml:space="preserve">Production operators (from Capacity)</t>
  </si>
  <si>
    <t xml:space="preserve">line processes, 1:1</t>
  </si>
  <si>
    <t xml:space="preserve">TOTAL headcount</t>
  </si>
  <si>
    <t xml:space="preserve">Parking and site vehicle provision</t>
  </si>
  <si>
    <t xml:space="preserve">Total on-site headcount</t>
  </si>
  <si>
    <t xml:space="preserve">people</t>
  </si>
  <si>
    <t xml:space="preserve">Employee bays</t>
  </si>
  <si>
    <t xml:space="preserve">Total car bays</t>
  </si>
  <si>
    <t xml:space="preserve">Car parking area</t>
  </si>
  <si>
    <t xml:space="preserve">Truck fleet area</t>
  </si>
  <si>
    <t xml:space="preserve">Total vehicle area</t>
  </si>
  <si>
    <t xml:space="preserve">Space summary and total footprint</t>
  </si>
  <si>
    <t xml:space="preserve">Area / department</t>
  </si>
  <si>
    <t xml:space="preserve">Production workstations</t>
  </si>
  <si>
    <t xml:space="preserve">machines x area/workstation</t>
  </si>
  <si>
    <t xml:space="preserve">Powder coating (enclosed)</t>
  </si>
  <si>
    <t xml:space="preserve">Heat treat + sandblast</t>
  </si>
  <si>
    <t xml:space="preserve">Raw material + WIP + scrap storage</t>
  </si>
  <si>
    <t xml:space="preserve">from Storage_3D</t>
  </si>
  <si>
    <t xml:space="preserve">Finished goods storage</t>
  </si>
  <si>
    <t xml:space="preserve">Receiving + dispatch</t>
  </si>
  <si>
    <t xml:space="preserve">Offices</t>
  </si>
  <si>
    <t xml:space="preserve">non-operator staff x area/person</t>
  </si>
  <si>
    <t xml:space="preserve">Amenities (lockers/restrooms/cafeteria)</t>
  </si>
  <si>
    <t xml:space="preserve">headcount x area/person</t>
  </si>
  <si>
    <t xml:space="preserve">Subtotal (functional floor)</t>
  </si>
  <si>
    <t xml:space="preserve">Circulation / aisles</t>
  </si>
  <si>
    <t xml:space="preserve">allowance</t>
  </si>
  <si>
    <t xml:space="preserve">Building subtotal</t>
  </si>
  <si>
    <t xml:space="preserve">Future expansion (~10%)</t>
  </si>
  <si>
    <t xml:space="preserve">TOTAL BUILDING</t>
  </si>
  <si>
    <t xml:space="preserve">Parking + truck fleet (site)</t>
  </si>
  <si>
    <t xml:space="preserve">from Parking</t>
  </si>
  <si>
    <t xml:space="preserve">INDICATIVE SITE FOOTPRINT</t>
  </si>
  <si>
    <t xml:space="preserve">Recommended machinery (types and sources; dimensions/cost supplier-based)</t>
  </si>
  <si>
    <t xml:space="preserve">Process / area</t>
  </si>
  <si>
    <t xml:space="preserve">Recommended type</t>
  </si>
  <si>
    <t xml:space="preserve">Throughput / source note</t>
  </si>
  <si>
    <t xml:space="preserve">Dimensions</t>
  </si>
  <si>
    <t xml:space="preserve">Cost</t>
  </si>
  <si>
    <t xml:space="preserve">Status</t>
  </si>
  <si>
    <t xml:space="preserve">Automatic non-ferrous cold saw, auto bar-feed, bundle cutting</t>
  </si>
  <si>
    <t xml:space="preserve">bundle cutting available (Addison Saws; Profifeed A550)</t>
  </si>
  <si>
    <t xml:space="preserve">supplier</t>
  </si>
  <si>
    <t xml:space="preserve">quote</t>
  </si>
  <si>
    <t xml:space="preserve">verify</t>
  </si>
  <si>
    <t xml:space="preserve">Threads + knurl</t>
  </si>
  <si>
    <t xml:space="preserve">Thread-rolling machine + knurling head</t>
  </si>
  <si>
    <t xml:space="preserve">15-60+ parts/min (PowerTransmission; IQS)</t>
  </si>
  <si>
    <t xml:space="preserve">Stamping (head/hinge/narrow)</t>
  </si>
  <si>
    <t xml:space="preserve">Mechanical power press + progressive die</t>
  </si>
  <si>
    <t xml:space="preserve">standard</t>
  </si>
  <si>
    <t xml:space="preserve">Bending</t>
  </si>
  <si>
    <t xml:space="preserve">Press brake</t>
  </si>
  <si>
    <t xml:space="preserve">Sharpen / serrate</t>
  </si>
  <si>
    <t xml:space="preserve">Automated grinding / serrating machine</t>
  </si>
  <si>
    <t xml:space="preserve">replaces 2 min / 1 min manual</t>
  </si>
  <si>
    <t xml:space="preserve">Rivet</t>
  </si>
  <si>
    <t xml:space="preserve">Pneumatic / hydraulic riveter</t>
  </si>
  <si>
    <t xml:space="preserve">Heat treat</t>
  </si>
  <si>
    <t xml:space="preserve">T6 artificial-ageing batch oven</t>
  </si>
  <si>
    <t xml:space="preserve">5-8 h cycle (ARC; Aluminium-guide)</t>
  </si>
  <si>
    <t xml:space="preserve">Sandblast</t>
  </si>
  <si>
    <t xml:space="preserve">Enclosed blast booth + extraction</t>
  </si>
  <si>
    <t xml:space="preserve">equipment-dependent</t>
  </si>
  <si>
    <t xml:space="preserve">Powder coat</t>
  </si>
  <si>
    <t xml:space="preserve">Conveyorised powder line (booth + oven)</t>
  </si>
  <si>
    <t xml:space="preserve">~600 parts/h; cure ~10-20 min (TheFabricator)</t>
  </si>
  <si>
    <t xml:space="preserve">Assembly / packaging</t>
  </si>
  <si>
    <t xml:space="preserve">Manual workstations</t>
  </si>
  <si>
    <t xml:space="preserve">by hand + visual check (brief)</t>
  </si>
  <si>
    <t xml:space="preserve">stations from Capacity</t>
  </si>
  <si>
    <t xml:space="preserve">No machine dimensions or costs are invented; obtain from supplier quotations.</t>
  </si>
  <si>
    <t xml:space="preserve">Alternatives evaluation matrix (template - scores to be filled for 3 layouts)</t>
  </si>
  <si>
    <t xml:space="preserve">Criterion (from brief)</t>
  </si>
  <si>
    <t xml:space="preserve">Weight</t>
  </si>
  <si>
    <t xml:space="preserve">Alt 1 score</t>
  </si>
  <si>
    <t xml:space="preserve">Alt 2 score</t>
  </si>
  <si>
    <t xml:space="preserve">Alt 3 score</t>
  </si>
  <si>
    <t xml:space="preserve">Alt1 wtd</t>
  </si>
  <si>
    <t xml:space="preserve">Alt2 wtd</t>
  </si>
  <si>
    <t xml:space="preserve">Alt3 wtd</t>
  </si>
  <si>
    <t xml:space="preserve">Meets demand of 400 000/yr</t>
  </si>
  <si>
    <t xml:space="preserve">Logical material flow (receiving to dispatch)</t>
  </si>
  <si>
    <t xml:space="preserve">Enclosed powder coating + hazard separation</t>
  </si>
  <si>
    <t xml:space="preserve">Efficient storage and material handling</t>
  </si>
  <si>
    <t xml:space="preserve">Pedestrian / vehicle safety and site access</t>
  </si>
  <si>
    <t xml:space="preserve">~10% expansion provision</t>
  </si>
  <si>
    <t xml:space="preserve">Ease of construction / implementation</t>
  </si>
  <si>
    <t xml:space="preserve">TOTAL</t>
  </si>
  <si>
    <t xml:space="preserve">Enter a score of 1 (poor) to 5 (excellent) for each alternative; weighted totals rank the layouts.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</si>
</sst>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AF0F6"/>
      </patternFill>
    </fill>
    <fill>
      <patternFill patternType="solid">
        <fgColor rgb="FFEAF0F6"/>
        <bgColor rgb="FFFFFFFF"/>
      </patternFill>
    </fill>
    <fill>
      <patternFill patternType="solid">
        <fgColor rgb="FFD6E0EA"/>
        <bgColor rgb="FFEAF0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6"/>
      <rgbColor rgb="FF660066"/>
      <rgbColor rgb="FFFF8080"/>
      <rgbColor rgb="FF0066CC"/>
      <rgbColor rgb="FFD6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0"/>
    <col collapsed="false" customWidth="true" hidden="false" outlineLevel="0" max="4" min="3" style="0" width="12"/>
    <col collapsed="false" customWidth="true" hidden="false" outlineLevel="0" max="5" min="5" style="0" width="4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  <c r="C4" s="3" t="s">
        <v>3</v>
      </c>
      <c r="D4" s="3" t="s">
        <v>4</v>
      </c>
      <c r="E4" s="3" t="s">
        <v>5</v>
      </c>
    </row>
    <row r="5" customFormat="false" ht="15" hidden="false" customHeight="false" outlineLevel="0" collapsed="false">
      <c r="B5" s="4" t="s">
        <v>6</v>
      </c>
      <c r="C5" s="5" t="n">
        <v>400000</v>
      </c>
      <c r="D5" s="6" t="s">
        <v>7</v>
      </c>
      <c r="E5" s="7" t="s">
        <v>8</v>
      </c>
    </row>
    <row r="6" customFormat="false" ht="15" hidden="false" customHeight="false" outlineLevel="0" collapsed="false">
      <c r="B6" s="4" t="s">
        <v>9</v>
      </c>
      <c r="C6" s="5" t="n">
        <v>220</v>
      </c>
      <c r="D6" s="6" t="s">
        <v>10</v>
      </c>
      <c r="E6" s="7" t="s">
        <v>8</v>
      </c>
    </row>
    <row r="7" customFormat="false" ht="15" hidden="false" customHeight="false" outlineLevel="0" collapsed="false">
      <c r="B7" s="4" t="s">
        <v>11</v>
      </c>
      <c r="C7" s="6" t="n">
        <f aca="false">ROUNDUP(C5/C6,0)</f>
        <v>1819</v>
      </c>
      <c r="D7" s="6" t="s">
        <v>12</v>
      </c>
      <c r="E7" s="7" t="s">
        <v>13</v>
      </c>
    </row>
    <row r="8" customFormat="false" ht="15" hidden="false" customHeight="false" outlineLevel="0" collapsed="false">
      <c r="B8" s="4" t="s">
        <v>14</v>
      </c>
      <c r="C8" s="5" t="n">
        <v>540</v>
      </c>
      <c r="D8" s="6" t="s">
        <v>15</v>
      </c>
      <c r="E8" s="7" t="s">
        <v>16</v>
      </c>
    </row>
    <row r="9" customFormat="false" ht="15" hidden="false" customHeight="false" outlineLevel="0" collapsed="false">
      <c r="B9" s="4" t="s">
        <v>17</v>
      </c>
      <c r="C9" s="5" t="n">
        <v>60</v>
      </c>
      <c r="D9" s="6" t="s">
        <v>15</v>
      </c>
      <c r="E9" s="7" t="s">
        <v>18</v>
      </c>
    </row>
    <row r="10" customFormat="false" ht="15" hidden="false" customHeight="false" outlineLevel="0" collapsed="false">
      <c r="B10" s="4" t="s">
        <v>19</v>
      </c>
      <c r="C10" s="6" t="n">
        <f aca="false">C8-C9</f>
        <v>480</v>
      </c>
      <c r="D10" s="6" t="s">
        <v>20</v>
      </c>
      <c r="E10" s="7" t="s">
        <v>21</v>
      </c>
    </row>
    <row r="11" customFormat="false" ht="15" hidden="false" customHeight="false" outlineLevel="0" collapsed="false">
      <c r="B11" s="4" t="s">
        <v>22</v>
      </c>
      <c r="C11" s="8" t="n">
        <v>0.9</v>
      </c>
      <c r="D11" s="6" t="s">
        <v>23</v>
      </c>
      <c r="E11" s="7" t="s">
        <v>24</v>
      </c>
    </row>
    <row r="12" customFormat="false" ht="15" hidden="false" customHeight="false" outlineLevel="0" collapsed="false">
      <c r="B12" s="4" t="s">
        <v>25</v>
      </c>
      <c r="C12" s="6" t="n">
        <f aca="false">C10*C11</f>
        <v>432</v>
      </c>
      <c r="D12" s="6" t="s">
        <v>20</v>
      </c>
      <c r="E12" s="7" t="s">
        <v>26</v>
      </c>
    </row>
    <row r="13" customFormat="false" ht="15" hidden="false" customHeight="false" outlineLevel="0" collapsed="false">
      <c r="B13" s="4" t="s">
        <v>27</v>
      </c>
      <c r="C13" s="6" t="n">
        <f aca="false">ROUND(C10*60/C7,2)</f>
        <v>15.83</v>
      </c>
      <c r="D13" s="6" t="s">
        <v>28</v>
      </c>
      <c r="E13" s="7" t="s">
        <v>29</v>
      </c>
    </row>
    <row r="14" customFormat="false" ht="15" hidden="false" customHeight="false" outlineLevel="0" collapsed="false">
      <c r="B14" s="4" t="s">
        <v>30</v>
      </c>
      <c r="C14" s="5" t="n">
        <v>0.05</v>
      </c>
      <c r="D14" s="6" t="s">
        <v>23</v>
      </c>
      <c r="E14" s="7" t="s">
        <v>31</v>
      </c>
    </row>
    <row r="15" customFormat="false" ht="15" hidden="false" customHeight="false" outlineLevel="0" collapsed="false">
      <c r="B15" s="4" t="s">
        <v>32</v>
      </c>
      <c r="C15" s="6" t="n">
        <f aca="false">1-C14</f>
        <v>0.95</v>
      </c>
      <c r="D15" s="6" t="s">
        <v>23</v>
      </c>
      <c r="E15" s="7" t="s">
        <v>33</v>
      </c>
    </row>
    <row r="16" customFormat="false" ht="15" hidden="false" customHeight="false" outlineLevel="0" collapsed="false">
      <c r="B16" s="4" t="s">
        <v>34</v>
      </c>
      <c r="C16" s="8" t="n">
        <v>1</v>
      </c>
      <c r="D16" s="6" t="s">
        <v>35</v>
      </c>
      <c r="E16" s="7" t="s">
        <v>36</v>
      </c>
    </row>
    <row r="17" customFormat="false" ht="15" hidden="false" customHeight="false" outlineLevel="0" collapsed="false">
      <c r="B17" s="4" t="s">
        <v>37</v>
      </c>
      <c r="C17" s="8" t="n">
        <v>1</v>
      </c>
      <c r="D17" s="6" t="s">
        <v>38</v>
      </c>
      <c r="E17" s="7" t="s">
        <v>39</v>
      </c>
    </row>
    <row r="18" customFormat="false" ht="15" hidden="false" customHeight="false" outlineLevel="0" collapsed="false">
      <c r="B18" s="4" t="s">
        <v>40</v>
      </c>
      <c r="C18" s="8" t="n">
        <v>30</v>
      </c>
      <c r="D18" s="6" t="s">
        <v>28</v>
      </c>
      <c r="E18" s="7" t="s">
        <v>41</v>
      </c>
    </row>
    <row r="19" customFormat="false" ht="15" hidden="false" customHeight="false" outlineLevel="0" collapsed="false">
      <c r="B19" s="4" t="s">
        <v>42</v>
      </c>
      <c r="C19" s="8" t="n">
        <v>6</v>
      </c>
      <c r="D19" s="6" t="s">
        <v>43</v>
      </c>
      <c r="E19" s="7" t="s">
        <v>44</v>
      </c>
    </row>
    <row r="20" customFormat="false" ht="15" hidden="false" customHeight="false" outlineLevel="0" collapsed="false">
      <c r="B20" s="4" t="s">
        <v>45</v>
      </c>
      <c r="C20" s="5" t="n">
        <v>0.15</v>
      </c>
      <c r="D20" s="6" t="s">
        <v>43</v>
      </c>
      <c r="E20" s="7" t="s">
        <v>46</v>
      </c>
    </row>
    <row r="21" customFormat="false" ht="15" hidden="false" customHeight="false" outlineLevel="0" collapsed="false">
      <c r="B21" s="4" t="s">
        <v>47</v>
      </c>
      <c r="C21" s="6" t="n">
        <f aca="false">FLOOR(C19/C20,1)</f>
        <v>40</v>
      </c>
      <c r="D21" s="6" t="s">
        <v>48</v>
      </c>
      <c r="E21" s="7" t="s">
        <v>49</v>
      </c>
    </row>
    <row r="22" customFormat="false" ht="15" hidden="false" customHeight="false" outlineLevel="0" collapsed="false">
      <c r="B22" s="4" t="s">
        <v>50</v>
      </c>
      <c r="C22" s="5" t="n">
        <v>2</v>
      </c>
      <c r="D22" s="6" t="s">
        <v>48</v>
      </c>
      <c r="E22" s="7" t="s">
        <v>51</v>
      </c>
    </row>
    <row r="23" customFormat="false" ht="15" hidden="false" customHeight="false" outlineLevel="0" collapsed="false">
      <c r="B23" s="4" t="s">
        <v>52</v>
      </c>
      <c r="C23" s="8" t="n">
        <v>2.5</v>
      </c>
      <c r="D23" s="6" t="s">
        <v>43</v>
      </c>
      <c r="E23" s="7" t="s">
        <v>53</v>
      </c>
    </row>
    <row r="24" customFormat="false" ht="15" hidden="false" customHeight="false" outlineLevel="0" collapsed="false">
      <c r="B24" s="4" t="s">
        <v>54</v>
      </c>
      <c r="C24" s="8" t="n">
        <v>1.25</v>
      </c>
      <c r="D24" s="6" t="s">
        <v>43</v>
      </c>
      <c r="E24" s="7" t="s">
        <v>53</v>
      </c>
    </row>
    <row r="25" customFormat="false" ht="15" hidden="false" customHeight="false" outlineLevel="0" collapsed="false">
      <c r="B25" s="4" t="s">
        <v>55</v>
      </c>
      <c r="C25" s="8" t="n">
        <v>0.75</v>
      </c>
      <c r="D25" s="6" t="s">
        <v>23</v>
      </c>
      <c r="E25" s="7" t="s">
        <v>56</v>
      </c>
    </row>
    <row r="26" customFormat="false" ht="15" hidden="false" customHeight="false" outlineLevel="0" collapsed="false">
      <c r="B26" s="4" t="s">
        <v>57</v>
      </c>
      <c r="C26" s="8" t="n">
        <v>0.17</v>
      </c>
      <c r="D26" s="6" t="s">
        <v>43</v>
      </c>
      <c r="E26" s="7" t="s">
        <v>58</v>
      </c>
    </row>
    <row r="27" customFormat="false" ht="15" hidden="false" customHeight="false" outlineLevel="0" collapsed="false">
      <c r="B27" s="4" t="s">
        <v>59</v>
      </c>
      <c r="C27" s="8" t="n">
        <v>0.14</v>
      </c>
      <c r="D27" s="6" t="s">
        <v>43</v>
      </c>
      <c r="E27" s="7" t="s">
        <v>60</v>
      </c>
    </row>
    <row r="28" customFormat="false" ht="15" hidden="false" customHeight="false" outlineLevel="0" collapsed="false">
      <c r="B28" s="4" t="s">
        <v>61</v>
      </c>
      <c r="C28" s="8" t="n">
        <v>0.08</v>
      </c>
      <c r="D28" s="6" t="s">
        <v>43</v>
      </c>
      <c r="E28" s="7" t="s">
        <v>56</v>
      </c>
    </row>
    <row r="29" customFormat="false" ht="15" hidden="false" customHeight="false" outlineLevel="0" collapsed="false">
      <c r="B29" s="4" t="s">
        <v>62</v>
      </c>
      <c r="C29" s="8" t="n">
        <v>0.05</v>
      </c>
      <c r="D29" s="6" t="s">
        <v>43</v>
      </c>
      <c r="E29" s="7" t="s">
        <v>56</v>
      </c>
    </row>
    <row r="30" customFormat="false" ht="15" hidden="false" customHeight="false" outlineLevel="0" collapsed="false">
      <c r="B30" s="4" t="s">
        <v>63</v>
      </c>
      <c r="C30" s="5" t="n">
        <v>10</v>
      </c>
      <c r="D30" s="6" t="s">
        <v>10</v>
      </c>
      <c r="E30" s="7" t="s">
        <v>64</v>
      </c>
    </row>
    <row r="31" customFormat="false" ht="15" hidden="false" customHeight="false" outlineLevel="0" collapsed="false">
      <c r="B31" s="4" t="s">
        <v>65</v>
      </c>
      <c r="C31" s="5" t="n">
        <v>20</v>
      </c>
      <c r="D31" s="6" t="s">
        <v>10</v>
      </c>
      <c r="E31" s="7" t="s">
        <v>66</v>
      </c>
    </row>
    <row r="32" customFormat="false" ht="15" hidden="false" customHeight="false" outlineLevel="0" collapsed="false">
      <c r="B32" s="4" t="s">
        <v>67</v>
      </c>
      <c r="C32" s="8" t="n">
        <v>1</v>
      </c>
      <c r="D32" s="6" t="s">
        <v>10</v>
      </c>
      <c r="E32" s="7" t="s">
        <v>68</v>
      </c>
    </row>
    <row r="33" customFormat="false" ht="15" hidden="false" customHeight="false" outlineLevel="0" collapsed="false">
      <c r="B33" s="4" t="s">
        <v>69</v>
      </c>
      <c r="C33" s="8" t="n">
        <v>10</v>
      </c>
      <c r="D33" s="6" t="s">
        <v>70</v>
      </c>
      <c r="E33" s="7" t="s">
        <v>56</v>
      </c>
    </row>
    <row r="34" customFormat="false" ht="15" hidden="false" customHeight="false" outlineLevel="0" collapsed="false">
      <c r="B34" s="4" t="s">
        <v>71</v>
      </c>
      <c r="C34" s="8" t="n">
        <v>40</v>
      </c>
      <c r="D34" s="6" t="s">
        <v>72</v>
      </c>
      <c r="E34" s="7" t="s">
        <v>56</v>
      </c>
    </row>
    <row r="35" customFormat="false" ht="15" hidden="false" customHeight="false" outlineLevel="0" collapsed="false">
      <c r="B35" s="4" t="s">
        <v>73</v>
      </c>
      <c r="C35" s="6" t="n">
        <f aca="false">C33*C34</f>
        <v>400</v>
      </c>
      <c r="D35" s="6" t="s">
        <v>70</v>
      </c>
      <c r="E35" s="7" t="s">
        <v>74</v>
      </c>
    </row>
    <row r="36" customFormat="false" ht="15" hidden="false" customHeight="false" outlineLevel="0" collapsed="false">
      <c r="B36" s="4" t="s">
        <v>75</v>
      </c>
      <c r="C36" s="8" t="n">
        <v>1.2</v>
      </c>
      <c r="D36" s="6" t="s">
        <v>43</v>
      </c>
      <c r="E36" s="7" t="s">
        <v>76</v>
      </c>
    </row>
    <row r="37" customFormat="false" ht="15" hidden="false" customHeight="false" outlineLevel="0" collapsed="false">
      <c r="B37" s="4" t="s">
        <v>77</v>
      </c>
      <c r="C37" s="8" t="n">
        <v>1</v>
      </c>
      <c r="D37" s="6" t="s">
        <v>43</v>
      </c>
      <c r="E37" s="7" t="s">
        <v>76</v>
      </c>
    </row>
    <row r="38" customFormat="false" ht="15" hidden="false" customHeight="false" outlineLevel="0" collapsed="false">
      <c r="B38" s="4" t="s">
        <v>78</v>
      </c>
      <c r="C38" s="6" t="n">
        <f aca="false">C36*C37</f>
        <v>1.2</v>
      </c>
      <c r="D38" s="6" t="s">
        <v>79</v>
      </c>
      <c r="E38" s="7"/>
    </row>
    <row r="39" customFormat="false" ht="15" hidden="false" customHeight="false" outlineLevel="0" collapsed="false">
      <c r="B39" s="4" t="s">
        <v>80</v>
      </c>
      <c r="C39" s="8" t="n">
        <v>3</v>
      </c>
      <c r="D39" s="6" t="s">
        <v>38</v>
      </c>
      <c r="E39" s="7" t="s">
        <v>56</v>
      </c>
    </row>
    <row r="40" customFormat="false" ht="15" hidden="false" customHeight="false" outlineLevel="0" collapsed="false">
      <c r="B40" s="4" t="s">
        <v>81</v>
      </c>
      <c r="C40" s="8" t="n">
        <v>250</v>
      </c>
      <c r="D40" s="6" t="s">
        <v>82</v>
      </c>
      <c r="E40" s="7" t="s">
        <v>56</v>
      </c>
    </row>
    <row r="41" customFormat="false" ht="15" hidden="false" customHeight="false" outlineLevel="0" collapsed="false">
      <c r="B41" s="4" t="s">
        <v>83</v>
      </c>
      <c r="C41" s="8" t="n">
        <v>6</v>
      </c>
      <c r="D41" s="6" t="s">
        <v>79</v>
      </c>
      <c r="E41" s="7" t="s">
        <v>84</v>
      </c>
    </row>
    <row r="42" customFormat="false" ht="15" hidden="false" customHeight="false" outlineLevel="0" collapsed="false">
      <c r="B42" s="4" t="s">
        <v>85</v>
      </c>
      <c r="C42" s="8" t="n">
        <v>200</v>
      </c>
      <c r="D42" s="6" t="s">
        <v>86</v>
      </c>
      <c r="E42" s="7" t="s">
        <v>56</v>
      </c>
    </row>
    <row r="43" customFormat="false" ht="15" hidden="false" customHeight="false" outlineLevel="0" collapsed="false">
      <c r="B43" s="4" t="s">
        <v>87</v>
      </c>
      <c r="C43" s="8" t="n">
        <v>1.6</v>
      </c>
      <c r="D43" s="6" t="s">
        <v>38</v>
      </c>
      <c r="E43" s="7" t="s">
        <v>88</v>
      </c>
    </row>
    <row r="44" customFormat="false" ht="15" hidden="false" customHeight="false" outlineLevel="0" collapsed="false">
      <c r="B44" s="4" t="s">
        <v>89</v>
      </c>
      <c r="C44" s="8" t="n">
        <v>6</v>
      </c>
      <c r="D44" s="6" t="s">
        <v>90</v>
      </c>
      <c r="E44" s="7" t="s">
        <v>91</v>
      </c>
    </row>
    <row r="45" customFormat="false" ht="15" hidden="false" customHeight="false" outlineLevel="0" collapsed="false">
      <c r="B45" s="4" t="s">
        <v>92</v>
      </c>
      <c r="C45" s="8" t="n">
        <v>600</v>
      </c>
      <c r="D45" s="6" t="s">
        <v>93</v>
      </c>
      <c r="E45" s="7" t="s">
        <v>94</v>
      </c>
    </row>
    <row r="46" customFormat="false" ht="15" hidden="false" customHeight="false" outlineLevel="0" collapsed="false">
      <c r="B46" s="4" t="s">
        <v>95</v>
      </c>
      <c r="C46" s="5" t="n">
        <v>3</v>
      </c>
      <c r="D46" s="6" t="s">
        <v>96</v>
      </c>
      <c r="E46" s="7" t="s">
        <v>97</v>
      </c>
    </row>
    <row r="47" customFormat="false" ht="15" hidden="false" customHeight="false" outlineLevel="0" collapsed="false">
      <c r="B47" s="4" t="s">
        <v>98</v>
      </c>
      <c r="C47" s="8" t="n">
        <v>6</v>
      </c>
      <c r="D47" s="6" t="s">
        <v>79</v>
      </c>
      <c r="E47" s="7" t="s">
        <v>99</v>
      </c>
    </row>
    <row r="48" customFormat="false" ht="15" hidden="false" customHeight="false" outlineLevel="0" collapsed="false">
      <c r="B48" s="4" t="s">
        <v>100</v>
      </c>
      <c r="C48" s="8" t="n">
        <v>0.3</v>
      </c>
      <c r="D48" s="6" t="s">
        <v>23</v>
      </c>
      <c r="E48" s="7" t="s">
        <v>56</v>
      </c>
    </row>
    <row r="49" customFormat="false" ht="15" hidden="false" customHeight="false" outlineLevel="0" collapsed="false">
      <c r="B49" s="4" t="s">
        <v>101</v>
      </c>
      <c r="C49" s="5" t="n">
        <v>0.1</v>
      </c>
      <c r="D49" s="6" t="s">
        <v>23</v>
      </c>
      <c r="E49" s="7" t="s">
        <v>102</v>
      </c>
    </row>
    <row r="50" customFormat="false" ht="15" hidden="false" customHeight="false" outlineLevel="0" collapsed="false">
      <c r="B50" s="4" t="s">
        <v>103</v>
      </c>
      <c r="C50" s="8" t="n">
        <v>120</v>
      </c>
      <c r="D50" s="6" t="s">
        <v>79</v>
      </c>
      <c r="E50" s="7" t="s">
        <v>104</v>
      </c>
    </row>
    <row r="51" customFormat="false" ht="15" hidden="false" customHeight="false" outlineLevel="0" collapsed="false">
      <c r="B51" s="4" t="s">
        <v>105</v>
      </c>
      <c r="C51" s="8" t="n">
        <v>80</v>
      </c>
      <c r="D51" s="6" t="s">
        <v>79</v>
      </c>
      <c r="E51" s="7" t="s">
        <v>104</v>
      </c>
    </row>
    <row r="52" customFormat="false" ht="15" hidden="false" customHeight="false" outlineLevel="0" collapsed="false">
      <c r="B52" s="4" t="s">
        <v>106</v>
      </c>
      <c r="C52" s="8" t="n">
        <v>40</v>
      </c>
      <c r="D52" s="6" t="s">
        <v>79</v>
      </c>
      <c r="E52" s="7" t="s">
        <v>56</v>
      </c>
    </row>
    <row r="53" customFormat="false" ht="15" hidden="false" customHeight="false" outlineLevel="0" collapsed="false">
      <c r="B53" s="4" t="s">
        <v>107</v>
      </c>
      <c r="C53" s="8" t="n">
        <v>250</v>
      </c>
      <c r="D53" s="6" t="s">
        <v>79</v>
      </c>
      <c r="E53" s="7" t="s">
        <v>108</v>
      </c>
    </row>
    <row r="54" customFormat="false" ht="15" hidden="false" customHeight="false" outlineLevel="0" collapsed="false">
      <c r="B54" s="4" t="s">
        <v>109</v>
      </c>
      <c r="C54" s="8" t="n">
        <v>10</v>
      </c>
      <c r="D54" s="6" t="s">
        <v>79</v>
      </c>
      <c r="E54" s="7" t="s">
        <v>56</v>
      </c>
    </row>
    <row r="55" customFormat="false" ht="15" hidden="false" customHeight="false" outlineLevel="0" collapsed="false">
      <c r="B55" s="4" t="s">
        <v>110</v>
      </c>
      <c r="C55" s="8" t="n">
        <v>4</v>
      </c>
      <c r="D55" s="6" t="s">
        <v>79</v>
      </c>
      <c r="E55" s="7" t="s">
        <v>111</v>
      </c>
    </row>
    <row r="56" customFormat="false" ht="15" hidden="false" customHeight="false" outlineLevel="0" collapsed="false">
      <c r="B56" s="4" t="s">
        <v>112</v>
      </c>
      <c r="C56" s="5" t="n">
        <v>1</v>
      </c>
      <c r="D56" s="6" t="s">
        <v>38</v>
      </c>
      <c r="E56" s="7" t="s">
        <v>113</v>
      </c>
    </row>
    <row r="57" customFormat="false" ht="15" hidden="false" customHeight="false" outlineLevel="0" collapsed="false">
      <c r="B57" s="4" t="s">
        <v>114</v>
      </c>
      <c r="C57" s="8" t="n">
        <v>10</v>
      </c>
      <c r="D57" s="6" t="s">
        <v>115</v>
      </c>
      <c r="E57" s="7" t="s">
        <v>56</v>
      </c>
    </row>
    <row r="58" customFormat="false" ht="15" hidden="false" customHeight="false" outlineLevel="0" collapsed="false">
      <c r="B58" s="4" t="s">
        <v>116</v>
      </c>
      <c r="C58" s="8" t="n">
        <v>25</v>
      </c>
      <c r="D58" s="6" t="s">
        <v>79</v>
      </c>
      <c r="E58" s="7" t="s">
        <v>117</v>
      </c>
    </row>
    <row r="59" customFormat="false" ht="15" hidden="false" customHeight="false" outlineLevel="0" collapsed="false">
      <c r="B59" s="4" t="s">
        <v>118</v>
      </c>
      <c r="C59" s="8" t="n">
        <v>6</v>
      </c>
      <c r="D59" s="6" t="s">
        <v>115</v>
      </c>
      <c r="E59" s="7" t="s">
        <v>119</v>
      </c>
    </row>
    <row r="60" customFormat="false" ht="15" hidden="false" customHeight="false" outlineLevel="0" collapsed="false">
      <c r="B60" s="4" t="s">
        <v>120</v>
      </c>
      <c r="C60" s="8" t="n">
        <v>60</v>
      </c>
      <c r="D60" s="6" t="s">
        <v>79</v>
      </c>
      <c r="E60" s="7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0"/>
  </cols>
  <sheetData>
    <row r="1" customFormat="false" ht="16.15" hidden="false" customHeight="false" outlineLevel="0" collapsed="false">
      <c r="A1" s="1" t="s">
        <v>122</v>
      </c>
    </row>
    <row r="3" customFormat="false" ht="15" hidden="false" customHeight="false" outlineLevel="0" collapsed="false">
      <c r="A3" s="3" t="s">
        <v>123</v>
      </c>
      <c r="B3" s="3" t="s">
        <v>3</v>
      </c>
      <c r="C3" s="3" t="s">
        <v>4</v>
      </c>
      <c r="D3" s="3" t="s">
        <v>124</v>
      </c>
    </row>
    <row r="4" customFormat="false" ht="15" hidden="false" customHeight="false" outlineLevel="0" collapsed="false">
      <c r="A4" s="4" t="s">
        <v>6</v>
      </c>
      <c r="B4" s="9" t="n">
        <f aca="false">Inputs!$C$5</f>
        <v>400000</v>
      </c>
      <c r="C4" s="6" t="s">
        <v>7</v>
      </c>
      <c r="D4" s="7" t="s">
        <v>125</v>
      </c>
    </row>
    <row r="5" customFormat="false" ht="15" hidden="false" customHeight="false" outlineLevel="0" collapsed="false">
      <c r="A5" s="4" t="s">
        <v>126</v>
      </c>
      <c r="B5" s="9" t="n">
        <f aca="false">Inputs!$C$6</f>
        <v>220</v>
      </c>
      <c r="C5" s="6" t="s">
        <v>10</v>
      </c>
      <c r="D5" s="7" t="s">
        <v>125</v>
      </c>
    </row>
    <row r="6" customFormat="false" ht="15" hidden="false" customHeight="false" outlineLevel="0" collapsed="false">
      <c r="A6" s="4" t="s">
        <v>11</v>
      </c>
      <c r="B6" s="9" t="n">
        <f aca="false">Inputs!$C$7</f>
        <v>1819</v>
      </c>
      <c r="C6" s="6" t="s">
        <v>12</v>
      </c>
      <c r="D6" s="7" t="s">
        <v>127</v>
      </c>
    </row>
    <row r="7" customFormat="false" ht="15" hidden="false" customHeight="false" outlineLevel="0" collapsed="false">
      <c r="A7" s="4" t="s">
        <v>19</v>
      </c>
      <c r="B7" s="9" t="n">
        <f aca="false">Inputs!$C$10</f>
        <v>480</v>
      </c>
      <c r="C7" s="6" t="s">
        <v>20</v>
      </c>
      <c r="D7" s="7" t="s">
        <v>21</v>
      </c>
    </row>
    <row r="8" customFormat="false" ht="15" hidden="false" customHeight="false" outlineLevel="0" collapsed="false">
      <c r="A8" s="4" t="s">
        <v>128</v>
      </c>
      <c r="B8" s="9" t="n">
        <f aca="false">Inputs!$C$7/(Inputs!$C$10/60)</f>
        <v>227.375</v>
      </c>
      <c r="C8" s="6" t="s">
        <v>129</v>
      </c>
      <c r="D8" s="7" t="s">
        <v>130</v>
      </c>
    </row>
    <row r="9" customFormat="false" ht="15" hidden="false" customHeight="false" outlineLevel="0" collapsed="false">
      <c r="A9" s="4" t="s">
        <v>27</v>
      </c>
      <c r="B9" s="9" t="n">
        <f aca="false">Inputs!$C$13</f>
        <v>15.83</v>
      </c>
      <c r="C9" s="6" t="s">
        <v>28</v>
      </c>
      <c r="D9" s="7" t="s">
        <v>131</v>
      </c>
    </row>
    <row r="11" customFormat="false" ht="15" hidden="false" customHeight="false" outlineLevel="0" collapsed="false">
      <c r="A11" s="10" t="s">
        <v>132</v>
      </c>
    </row>
    <row r="12" customFormat="false" ht="26.85" hidden="false" customHeight="false" outlineLevel="0" collapsed="false">
      <c r="A12" s="3" t="s">
        <v>133</v>
      </c>
      <c r="B12" s="3" t="s">
        <v>134</v>
      </c>
      <c r="C12" s="3" t="s">
        <v>135</v>
      </c>
      <c r="D12" s="3" t="s">
        <v>136</v>
      </c>
    </row>
    <row r="13" customFormat="false" ht="15" hidden="false" customHeight="false" outlineLevel="0" collapsed="false">
      <c r="A13" s="6" t="s">
        <v>137</v>
      </c>
      <c r="B13" s="5" t="n">
        <v>1</v>
      </c>
      <c r="C13" s="6" t="n">
        <f aca="false">B13*Inputs!$C$7</f>
        <v>1819</v>
      </c>
      <c r="D13" s="6"/>
    </row>
    <row r="14" customFormat="false" ht="15" hidden="false" customHeight="false" outlineLevel="0" collapsed="false">
      <c r="A14" s="6" t="s">
        <v>138</v>
      </c>
      <c r="B14" s="5" t="n">
        <v>1</v>
      </c>
      <c r="C14" s="6" t="n">
        <f aca="false">B14*Inputs!$C$7</f>
        <v>1819</v>
      </c>
      <c r="D14" s="6"/>
    </row>
    <row r="15" customFormat="false" ht="15" hidden="false" customHeight="false" outlineLevel="0" collapsed="false">
      <c r="A15" s="6" t="s">
        <v>139</v>
      </c>
      <c r="B15" s="5" t="n">
        <v>2</v>
      </c>
      <c r="C15" s="6" t="n">
        <f aca="false">B15*Inputs!$C$7</f>
        <v>3638</v>
      </c>
      <c r="D15" s="6" t="n">
        <f aca="false">C15/Inputs!$C$15</f>
        <v>3829.47368421053</v>
      </c>
    </row>
    <row r="16" customFormat="false" ht="15" hidden="false" customHeight="false" outlineLevel="0" collapsed="false">
      <c r="A16" s="6" t="s">
        <v>140</v>
      </c>
      <c r="B16" s="5" t="n">
        <v>1</v>
      </c>
      <c r="C16" s="6" t="n">
        <f aca="false">B16*Inputs!$C$7</f>
        <v>1819</v>
      </c>
      <c r="D16" s="6" t="n">
        <f aca="false">C16/Inputs!$C$15</f>
        <v>1914.73684210526</v>
      </c>
    </row>
    <row r="17" customFormat="false" ht="15" hidden="false" customHeight="false" outlineLevel="0" collapsed="false">
      <c r="A17" s="6" t="s">
        <v>141</v>
      </c>
      <c r="B17" s="5" t="n">
        <v>1</v>
      </c>
      <c r="C17" s="6" t="n">
        <f aca="false">B17*Inputs!$C$7</f>
        <v>1819</v>
      </c>
      <c r="D17" s="6" t="n">
        <f aca="false">C17/Inputs!$C$15</f>
        <v>1914.73684210526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7"/>
    <col collapsed="false" customWidth="true" hidden="false" outlineLevel="0" max="10" min="9" style="0" width="8"/>
    <col collapsed="false" customWidth="true" hidden="false" outlineLevel="0" max="11" min="11" style="0" width="11"/>
    <col collapsed="false" customWidth="true" hidden="false" outlineLevel="0" max="13" min="12" style="0" width="9"/>
    <col collapsed="false" customWidth="true" hidden="false" outlineLevel="0" max="14" min="14" style="0" width="8"/>
    <col collapsed="false" customWidth="true" hidden="false" outlineLevel="0" max="15" min="15" style="0" width="9"/>
    <col collapsed="false" customWidth="true" hidden="false" outlineLevel="0" max="16" min="16" style="0" width="30"/>
  </cols>
  <sheetData>
    <row r="1" customFormat="false" ht="16.15" hidden="false" customHeight="false" outlineLevel="0" collapsed="false">
      <c r="A1" s="1" t="s">
        <v>142</v>
      </c>
    </row>
    <row r="3" customFormat="false" ht="39.55" hidden="false" customHeight="false" outlineLevel="0" collapsed="false">
      <c r="A3" s="3" t="s">
        <v>143</v>
      </c>
      <c r="B3" s="3" t="s">
        <v>124</v>
      </c>
      <c r="C3" s="3" t="s">
        <v>144</v>
      </c>
      <c r="D3" s="3" t="s">
        <v>145</v>
      </c>
      <c r="E3" s="3" t="s">
        <v>146</v>
      </c>
      <c r="F3" s="3" t="s">
        <v>147</v>
      </c>
      <c r="G3" s="3" t="s">
        <v>148</v>
      </c>
      <c r="H3" s="3" t="s">
        <v>149</v>
      </c>
      <c r="I3" s="3" t="s">
        <v>150</v>
      </c>
      <c r="J3" s="3" t="s">
        <v>151</v>
      </c>
      <c r="K3" s="3" t="s">
        <v>152</v>
      </c>
      <c r="L3" s="3" t="s">
        <v>153</v>
      </c>
      <c r="M3" s="3" t="s">
        <v>154</v>
      </c>
      <c r="N3" s="3" t="s">
        <v>155</v>
      </c>
      <c r="O3" s="3" t="s">
        <v>156</v>
      </c>
      <c r="P3" s="3" t="s">
        <v>157</v>
      </c>
    </row>
    <row r="4" customFormat="false" ht="15" hidden="false" customHeight="false" outlineLevel="0" collapsed="false">
      <c r="A4" s="11" t="s">
        <v>158</v>
      </c>
      <c r="B4" s="11" t="s">
        <v>159</v>
      </c>
      <c r="C4" s="5" t="n">
        <v>2</v>
      </c>
      <c r="D4" s="5" t="s">
        <v>160</v>
      </c>
      <c r="E4" s="12" t="n">
        <f aca="false">Inputs!$C$7*C4</f>
        <v>3638</v>
      </c>
      <c r="F4" s="11" t="n">
        <f aca="false">IF(D4="Yes",1/Inputs!$C$15,1)</f>
        <v>1.05263157894737</v>
      </c>
      <c r="G4" s="11" t="n">
        <f aca="false">E4*F4</f>
        <v>3829.47368421053</v>
      </c>
      <c r="H4" s="12" t="n">
        <f aca="false">Inputs!$C$16</f>
        <v>1</v>
      </c>
      <c r="I4" s="11" t="n">
        <f aca="false">G4/H4</f>
        <v>3829.47368421053</v>
      </c>
      <c r="J4" s="13" t="n">
        <v>15</v>
      </c>
      <c r="K4" s="11" t="n">
        <f aca="false">I4*J4/60</f>
        <v>957.368421052632</v>
      </c>
      <c r="L4" s="12" t="n">
        <f aca="false">Inputs!$C$12</f>
        <v>432</v>
      </c>
      <c r="M4" s="14" t="n">
        <f aca="false">ROUNDUP(K4/L4,0)</f>
        <v>3</v>
      </c>
      <c r="N4" s="15" t="n">
        <f aca="false">K4/(M4*L4)</f>
        <v>0.7387102014295</v>
      </c>
      <c r="O4" s="11" t="n">
        <f aca="false">M4*Inputs!$C$17</f>
        <v>3</v>
      </c>
      <c r="P4" s="16" t="s">
        <v>161</v>
      </c>
    </row>
    <row r="5" customFormat="false" ht="15" hidden="false" customHeight="false" outlineLevel="0" collapsed="false">
      <c r="A5" s="6" t="s">
        <v>162</v>
      </c>
      <c r="B5" s="6" t="s">
        <v>163</v>
      </c>
      <c r="C5" s="5" t="n">
        <v>1</v>
      </c>
      <c r="D5" s="5" t="s">
        <v>164</v>
      </c>
      <c r="E5" s="9" t="n">
        <f aca="false">Inputs!$C$7*C5</f>
        <v>1819</v>
      </c>
      <c r="F5" s="6" t="n">
        <f aca="false">IF(D5="Yes",1/Inputs!$C$15,1)</f>
        <v>1</v>
      </c>
      <c r="G5" s="6" t="n">
        <f aca="false">E5*F5</f>
        <v>1819</v>
      </c>
      <c r="H5" s="6" t="s">
        <v>165</v>
      </c>
      <c r="I5" s="6" t="n">
        <f aca="false">G5/H5</f>
        <v>1819</v>
      </c>
      <c r="J5" s="5" t="n">
        <v>20</v>
      </c>
      <c r="K5" s="6" t="n">
        <f aca="false">I5*J5/60</f>
        <v>606.333333333333</v>
      </c>
      <c r="L5" s="9" t="n">
        <f aca="false">Inputs!$C$12</f>
        <v>432</v>
      </c>
      <c r="M5" s="4" t="n">
        <f aca="false">ROUNDUP(K5/L5,0)</f>
        <v>2</v>
      </c>
      <c r="N5" s="17" t="n">
        <f aca="false">K5/(M5*L5)</f>
        <v>0.701774691358025</v>
      </c>
      <c r="O5" s="6" t="n">
        <f aca="false">M5*Inputs!$C$17</f>
        <v>2</v>
      </c>
      <c r="P5" s="7" t="s">
        <v>125</v>
      </c>
    </row>
    <row r="6" customFormat="false" ht="15" hidden="false" customHeight="false" outlineLevel="0" collapsed="false">
      <c r="A6" s="11" t="s">
        <v>166</v>
      </c>
      <c r="B6" s="11" t="s">
        <v>163</v>
      </c>
      <c r="C6" s="5" t="n">
        <v>1</v>
      </c>
      <c r="D6" s="5" t="s">
        <v>164</v>
      </c>
      <c r="E6" s="12" t="n">
        <f aca="false">Inputs!$C$7*C6</f>
        <v>1819</v>
      </c>
      <c r="F6" s="11" t="n">
        <f aca="false">IF(D6="Yes",1/Inputs!$C$15,1)</f>
        <v>1</v>
      </c>
      <c r="G6" s="11" t="n">
        <f aca="false">E6*F6</f>
        <v>1819</v>
      </c>
      <c r="H6" s="11" t="s">
        <v>165</v>
      </c>
      <c r="I6" s="11" t="n">
        <f aca="false">G6/H6</f>
        <v>1819</v>
      </c>
      <c r="J6" s="13" t="n">
        <v>5</v>
      </c>
      <c r="K6" s="11" t="n">
        <f aca="false">I6*J6/60</f>
        <v>151.583333333333</v>
      </c>
      <c r="L6" s="12" t="n">
        <f aca="false">Inputs!$C$12</f>
        <v>432</v>
      </c>
      <c r="M6" s="14" t="n">
        <f aca="false">ROUNDUP(K6/L6,0)</f>
        <v>1</v>
      </c>
      <c r="N6" s="15" t="n">
        <f aca="false">K6/(M6*L6)</f>
        <v>0.350887345679012</v>
      </c>
      <c r="O6" s="11" t="n">
        <f aca="false">M6*Inputs!$C$17</f>
        <v>1</v>
      </c>
      <c r="P6" s="16" t="s">
        <v>125</v>
      </c>
    </row>
    <row r="7" customFormat="false" ht="15" hidden="false" customHeight="false" outlineLevel="0" collapsed="false">
      <c r="A7" s="6" t="s">
        <v>167</v>
      </c>
      <c r="B7" s="6" t="s">
        <v>163</v>
      </c>
      <c r="C7" s="5" t="n">
        <v>1</v>
      </c>
      <c r="D7" s="5" t="s">
        <v>164</v>
      </c>
      <c r="E7" s="9" t="n">
        <f aca="false">Inputs!$C$7*C7</f>
        <v>1819</v>
      </c>
      <c r="F7" s="6" t="n">
        <f aca="false">IF(D7="Yes",1/Inputs!$C$15,1)</f>
        <v>1</v>
      </c>
      <c r="G7" s="6" t="n">
        <f aca="false">E7*F7</f>
        <v>1819</v>
      </c>
      <c r="H7" s="6" t="s">
        <v>165</v>
      </c>
      <c r="I7" s="6" t="n">
        <f aca="false">G7/H7</f>
        <v>1819</v>
      </c>
      <c r="J7" s="5" t="n">
        <v>60</v>
      </c>
      <c r="K7" s="6" t="n">
        <f aca="false">I7*J7/60</f>
        <v>1819</v>
      </c>
      <c r="L7" s="9" t="n">
        <f aca="false">Inputs!$C$12</f>
        <v>432</v>
      </c>
      <c r="M7" s="4" t="n">
        <f aca="false">ROUNDUP(K7/L7,0)</f>
        <v>5</v>
      </c>
      <c r="N7" s="17" t="n">
        <f aca="false">K7/(M7*L7)</f>
        <v>0.84212962962963</v>
      </c>
      <c r="O7" s="6" t="n">
        <f aca="false">M7*Inputs!$C$17</f>
        <v>5</v>
      </c>
      <c r="P7" s="7" t="s">
        <v>168</v>
      </c>
    </row>
    <row r="8" customFormat="false" ht="15" hidden="false" customHeight="false" outlineLevel="0" collapsed="false">
      <c r="A8" s="11" t="s">
        <v>169</v>
      </c>
      <c r="B8" s="11" t="s">
        <v>170</v>
      </c>
      <c r="C8" s="5" t="n">
        <v>1</v>
      </c>
      <c r="D8" s="5" t="s">
        <v>160</v>
      </c>
      <c r="E8" s="12" t="n">
        <f aca="false">Inputs!$C$7*C8</f>
        <v>1819</v>
      </c>
      <c r="F8" s="11" t="n">
        <f aca="false">IF(D8="Yes",1/Inputs!$C$15,1)</f>
        <v>1.05263157894737</v>
      </c>
      <c r="G8" s="11" t="n">
        <f aca="false">E8*F8</f>
        <v>1914.73684210526</v>
      </c>
      <c r="H8" s="11" t="s">
        <v>165</v>
      </c>
      <c r="I8" s="11" t="n">
        <f aca="false">G8/H8</f>
        <v>1914.73684210526</v>
      </c>
      <c r="J8" s="13" t="n">
        <v>2</v>
      </c>
      <c r="K8" s="11" t="n">
        <f aca="false">I8*J8/60</f>
        <v>63.8245614035088</v>
      </c>
      <c r="L8" s="12" t="n">
        <f aca="false">Inputs!$C$12</f>
        <v>432</v>
      </c>
      <c r="M8" s="14" t="n">
        <f aca="false">ROUNDUP(K8/L8,0)</f>
        <v>1</v>
      </c>
      <c r="N8" s="15" t="n">
        <f aca="false">K8/(M8*L8)</f>
        <v>0.1477420402859</v>
      </c>
      <c r="O8" s="11" t="n">
        <f aca="false">M8*Inputs!$C$17</f>
        <v>1</v>
      </c>
      <c r="P8" s="16" t="s">
        <v>171</v>
      </c>
    </row>
    <row r="9" customFormat="false" ht="15" hidden="false" customHeight="false" outlineLevel="0" collapsed="false">
      <c r="A9" s="6" t="s">
        <v>172</v>
      </c>
      <c r="B9" s="6" t="s">
        <v>173</v>
      </c>
      <c r="C9" s="5" t="n">
        <v>1</v>
      </c>
      <c r="D9" s="5" t="s">
        <v>164</v>
      </c>
      <c r="E9" s="9" t="n">
        <f aca="false">Inputs!$C$7*C9</f>
        <v>1819</v>
      </c>
      <c r="F9" s="6" t="n">
        <f aca="false">IF(D9="Yes",1/Inputs!$C$15,1)</f>
        <v>1</v>
      </c>
      <c r="G9" s="6" t="n">
        <f aca="false">E9*F9</f>
        <v>1819</v>
      </c>
      <c r="H9" s="6" t="s">
        <v>165</v>
      </c>
      <c r="I9" s="6" t="n">
        <f aca="false">G9/H9</f>
        <v>1819</v>
      </c>
      <c r="J9" s="5" t="n">
        <v>2</v>
      </c>
      <c r="K9" s="6" t="n">
        <f aca="false">I9*J9/60</f>
        <v>60.6333333333333</v>
      </c>
      <c r="L9" s="9" t="n">
        <f aca="false">Inputs!$C$12</f>
        <v>432</v>
      </c>
      <c r="M9" s="4" t="n">
        <f aca="false">ROUNDUP(K9/L9,0)</f>
        <v>1</v>
      </c>
      <c r="N9" s="17" t="n">
        <f aca="false">K9/(M9*L9)</f>
        <v>0.140354938271605</v>
      </c>
      <c r="O9" s="6" t="n">
        <f aca="false">M9*Inputs!$C$17</f>
        <v>1</v>
      </c>
      <c r="P9" s="7" t="s">
        <v>125</v>
      </c>
    </row>
    <row r="10" customFormat="false" ht="15" hidden="false" customHeight="false" outlineLevel="0" collapsed="false">
      <c r="A10" s="11" t="s">
        <v>174</v>
      </c>
      <c r="B10" s="11" t="s">
        <v>175</v>
      </c>
      <c r="C10" s="5" t="n">
        <v>1</v>
      </c>
      <c r="D10" s="5" t="s">
        <v>164</v>
      </c>
      <c r="E10" s="12" t="n">
        <f aca="false">Inputs!$C$7*C10</f>
        <v>1819</v>
      </c>
      <c r="F10" s="11" t="n">
        <f aca="false">IF(D10="Yes",1/Inputs!$C$15,1)</f>
        <v>1</v>
      </c>
      <c r="G10" s="11" t="n">
        <f aca="false">E10*F10</f>
        <v>1819</v>
      </c>
      <c r="H10" s="11" t="s">
        <v>165</v>
      </c>
      <c r="I10" s="11" t="n">
        <f aca="false">G10/H10</f>
        <v>1819</v>
      </c>
      <c r="J10" s="13" t="n">
        <v>120</v>
      </c>
      <c r="K10" s="11" t="n">
        <f aca="false">I10*J10/60</f>
        <v>3638</v>
      </c>
      <c r="L10" s="12" t="n">
        <f aca="false">Inputs!$C$12</f>
        <v>432</v>
      </c>
      <c r="M10" s="14" t="n">
        <f aca="false">ROUNDUP(K10/L10,0)</f>
        <v>9</v>
      </c>
      <c r="N10" s="15" t="n">
        <f aca="false">K10/(M10*L10)</f>
        <v>0.935699588477366</v>
      </c>
      <c r="O10" s="11" t="n">
        <f aca="false">M10*Inputs!$C$17</f>
        <v>9</v>
      </c>
      <c r="P10" s="16" t="s">
        <v>176</v>
      </c>
    </row>
    <row r="11" customFormat="false" ht="15" hidden="false" customHeight="false" outlineLevel="0" collapsed="false">
      <c r="A11" s="6" t="s">
        <v>177</v>
      </c>
      <c r="B11" s="6" t="s">
        <v>175</v>
      </c>
      <c r="C11" s="5" t="n">
        <v>1</v>
      </c>
      <c r="D11" s="5" t="s">
        <v>164</v>
      </c>
      <c r="E11" s="9" t="n">
        <f aca="false">Inputs!$C$7*C11</f>
        <v>1819</v>
      </c>
      <c r="F11" s="6" t="n">
        <f aca="false">IF(D11="Yes",1/Inputs!$C$15,1)</f>
        <v>1</v>
      </c>
      <c r="G11" s="6" t="n">
        <f aca="false">E11*F11</f>
        <v>1819</v>
      </c>
      <c r="H11" s="6" t="s">
        <v>165</v>
      </c>
      <c r="I11" s="6" t="n">
        <f aca="false">G11/H11</f>
        <v>1819</v>
      </c>
      <c r="J11" s="5" t="n">
        <v>60</v>
      </c>
      <c r="K11" s="6" t="n">
        <f aca="false">I11*J11/60</f>
        <v>1819</v>
      </c>
      <c r="L11" s="9" t="n">
        <f aca="false">Inputs!$C$12</f>
        <v>432</v>
      </c>
      <c r="M11" s="4" t="n">
        <f aca="false">ROUNDUP(K11/L11,0)</f>
        <v>5</v>
      </c>
      <c r="N11" s="17" t="n">
        <f aca="false">K11/(M11*L11)</f>
        <v>0.84212962962963</v>
      </c>
      <c r="O11" s="6" t="n">
        <f aca="false">M11*Inputs!$C$17</f>
        <v>5</v>
      </c>
      <c r="P11" s="7" t="s">
        <v>125</v>
      </c>
    </row>
    <row r="12" customFormat="false" ht="15" hidden="false" customHeight="false" outlineLevel="0" collapsed="false">
      <c r="A12" s="11" t="s">
        <v>178</v>
      </c>
      <c r="B12" s="11" t="s">
        <v>170</v>
      </c>
      <c r="C12" s="5" t="n">
        <v>1</v>
      </c>
      <c r="D12" s="5" t="s">
        <v>160</v>
      </c>
      <c r="E12" s="12" t="n">
        <f aca="false">Inputs!$C$7*C12</f>
        <v>1819</v>
      </c>
      <c r="F12" s="11" t="n">
        <f aca="false">IF(D12="Yes",1/Inputs!$C$15,1)</f>
        <v>1.05263157894737</v>
      </c>
      <c r="G12" s="11" t="n">
        <f aca="false">E12*F12</f>
        <v>1914.73684210526</v>
      </c>
      <c r="H12" s="11" t="s">
        <v>165</v>
      </c>
      <c r="I12" s="11" t="n">
        <f aca="false">G12/H12</f>
        <v>1914.73684210526</v>
      </c>
      <c r="J12" s="13" t="n">
        <v>2</v>
      </c>
      <c r="K12" s="11" t="n">
        <f aca="false">I12*J12/60</f>
        <v>63.8245614035088</v>
      </c>
      <c r="L12" s="12" t="n">
        <f aca="false">Inputs!$C$12</f>
        <v>432</v>
      </c>
      <c r="M12" s="14" t="n">
        <f aca="false">ROUNDUP(K12/L12,0)</f>
        <v>1</v>
      </c>
      <c r="N12" s="15" t="n">
        <f aca="false">K12/(M12*L12)</f>
        <v>0.1477420402859</v>
      </c>
      <c r="O12" s="11" t="n">
        <f aca="false">M12*Inputs!$C$17</f>
        <v>1</v>
      </c>
      <c r="P12" s="16" t="s">
        <v>171</v>
      </c>
    </row>
    <row r="13" customFormat="false" ht="15" hidden="false" customHeight="false" outlineLevel="0" collapsed="false">
      <c r="A13" s="6" t="s">
        <v>179</v>
      </c>
      <c r="B13" s="6" t="s">
        <v>170</v>
      </c>
      <c r="C13" s="5" t="n">
        <v>1</v>
      </c>
      <c r="D13" s="5" t="s">
        <v>164</v>
      </c>
      <c r="E13" s="9" t="n">
        <f aca="false">Inputs!$C$7*C13</f>
        <v>1819</v>
      </c>
      <c r="F13" s="6" t="n">
        <f aca="false">IF(D13="Yes",1/Inputs!$C$15,1)</f>
        <v>1</v>
      </c>
      <c r="G13" s="6" t="n">
        <f aca="false">E13*F13</f>
        <v>1819</v>
      </c>
      <c r="H13" s="6" t="s">
        <v>165</v>
      </c>
      <c r="I13" s="6" t="n">
        <f aca="false">G13/H13</f>
        <v>1819</v>
      </c>
      <c r="J13" s="5" t="n">
        <v>5</v>
      </c>
      <c r="K13" s="6" t="n">
        <f aca="false">I13*J13/60</f>
        <v>151.583333333333</v>
      </c>
      <c r="L13" s="9" t="n">
        <f aca="false">Inputs!$C$12</f>
        <v>432</v>
      </c>
      <c r="M13" s="4" t="n">
        <f aca="false">ROUNDUP(K13/L13,0)</f>
        <v>1</v>
      </c>
      <c r="N13" s="17" t="n">
        <f aca="false">K13/(M13*L13)</f>
        <v>0.350887345679012</v>
      </c>
      <c r="O13" s="6" t="n">
        <f aca="false">M13*Inputs!$C$17</f>
        <v>1</v>
      </c>
      <c r="P13" s="7" t="s">
        <v>125</v>
      </c>
    </row>
    <row r="14" customFormat="false" ht="15" hidden="false" customHeight="false" outlineLevel="0" collapsed="false">
      <c r="A14" s="11" t="s">
        <v>180</v>
      </c>
      <c r="B14" s="11" t="s">
        <v>175</v>
      </c>
      <c r="C14" s="5" t="n">
        <v>1</v>
      </c>
      <c r="D14" s="5" t="s">
        <v>164</v>
      </c>
      <c r="E14" s="12" t="n">
        <f aca="false">Inputs!$C$7*C14</f>
        <v>1819</v>
      </c>
      <c r="F14" s="11" t="n">
        <f aca="false">IF(D14="Yes",1/Inputs!$C$15,1)</f>
        <v>1</v>
      </c>
      <c r="G14" s="11" t="n">
        <f aca="false">E14*F14</f>
        <v>1819</v>
      </c>
      <c r="H14" s="11" t="s">
        <v>165</v>
      </c>
      <c r="I14" s="11" t="n">
        <f aca="false">G14/H14</f>
        <v>1819</v>
      </c>
      <c r="J14" s="13" t="n">
        <v>5</v>
      </c>
      <c r="K14" s="11" t="n">
        <f aca="false">I14*J14/60</f>
        <v>151.583333333333</v>
      </c>
      <c r="L14" s="12" t="n">
        <f aca="false">Inputs!$C$12</f>
        <v>432</v>
      </c>
      <c r="M14" s="14" t="n">
        <f aca="false">ROUNDUP(K14/L14,0)</f>
        <v>1</v>
      </c>
      <c r="N14" s="15" t="n">
        <f aca="false">K14/(M14*L14)</f>
        <v>0.350887345679012</v>
      </c>
      <c r="O14" s="11" t="n">
        <f aca="false">M14*Inputs!$C$17</f>
        <v>1</v>
      </c>
      <c r="P14" s="16" t="s">
        <v>125</v>
      </c>
    </row>
    <row r="15" customFormat="false" ht="15" hidden="false" customHeight="false" outlineLevel="0" collapsed="false">
      <c r="A15" s="6" t="s">
        <v>181</v>
      </c>
      <c r="B15" s="6" t="s">
        <v>173</v>
      </c>
      <c r="C15" s="5" t="n">
        <v>1</v>
      </c>
      <c r="D15" s="5" t="s">
        <v>164</v>
      </c>
      <c r="E15" s="9" t="n">
        <f aca="false">Inputs!$C$7*C15</f>
        <v>1819</v>
      </c>
      <c r="F15" s="6" t="n">
        <f aca="false">IF(D15="Yes",1/Inputs!$C$15,1)</f>
        <v>1</v>
      </c>
      <c r="G15" s="6" t="n">
        <f aca="false">E15*F15</f>
        <v>1819</v>
      </c>
      <c r="H15" s="6" t="s">
        <v>165</v>
      </c>
      <c r="I15" s="6" t="n">
        <f aca="false">G15/H15</f>
        <v>1819</v>
      </c>
      <c r="J15" s="5" t="n">
        <v>60</v>
      </c>
      <c r="K15" s="6" t="n">
        <f aca="false">I15*J15/60</f>
        <v>1819</v>
      </c>
      <c r="L15" s="9" t="n">
        <f aca="false">Inputs!$C$12</f>
        <v>432</v>
      </c>
      <c r="M15" s="4" t="n">
        <f aca="false">ROUNDUP(K15/L15,0)</f>
        <v>5</v>
      </c>
      <c r="N15" s="17" t="n">
        <f aca="false">K15/(M15*L15)</f>
        <v>0.84212962962963</v>
      </c>
      <c r="O15" s="6" t="n">
        <f aca="false">M15*Inputs!$C$17</f>
        <v>5</v>
      </c>
      <c r="P15" s="7" t="s">
        <v>125</v>
      </c>
    </row>
    <row r="16" customFormat="false" ht="15" hidden="false" customHeight="false" outlineLevel="0" collapsed="false">
      <c r="A16" s="11" t="s">
        <v>182</v>
      </c>
      <c r="B16" s="11" t="s">
        <v>175</v>
      </c>
      <c r="C16" s="5" t="n">
        <v>1</v>
      </c>
      <c r="D16" s="5" t="s">
        <v>164</v>
      </c>
      <c r="E16" s="12" t="n">
        <f aca="false">Inputs!$C$7*C16</f>
        <v>1819</v>
      </c>
      <c r="F16" s="11" t="n">
        <f aca="false">IF(D16="Yes",1/Inputs!$C$15,1)</f>
        <v>1</v>
      </c>
      <c r="G16" s="11" t="n">
        <f aca="false">E16*F16</f>
        <v>1819</v>
      </c>
      <c r="H16" s="11" t="s">
        <v>165</v>
      </c>
      <c r="I16" s="11" t="n">
        <f aca="false">G16/H16</f>
        <v>1819</v>
      </c>
      <c r="J16" s="13" t="n">
        <v>30</v>
      </c>
      <c r="K16" s="11" t="n">
        <f aca="false">I16*J16/60</f>
        <v>909.5</v>
      </c>
      <c r="L16" s="12" t="n">
        <f aca="false">Inputs!$C$12</f>
        <v>432</v>
      </c>
      <c r="M16" s="14" t="n">
        <f aca="false">ROUNDUP(K16/L16,0)</f>
        <v>3</v>
      </c>
      <c r="N16" s="15" t="n">
        <f aca="false">K16/(M16*L16)</f>
        <v>0.701774691358025</v>
      </c>
      <c r="O16" s="11" t="n">
        <f aca="false">M16*Inputs!$C$17</f>
        <v>3</v>
      </c>
      <c r="P16" s="16" t="s">
        <v>125</v>
      </c>
    </row>
    <row r="17" customFormat="false" ht="15" hidden="false" customHeight="false" outlineLevel="0" collapsed="false">
      <c r="A17" s="6" t="s">
        <v>183</v>
      </c>
      <c r="B17" s="6" t="s">
        <v>175</v>
      </c>
      <c r="C17" s="5" t="n">
        <v>1</v>
      </c>
      <c r="D17" s="5" t="s">
        <v>164</v>
      </c>
      <c r="E17" s="9" t="n">
        <f aca="false">Inputs!$C$7*C17</f>
        <v>1819</v>
      </c>
      <c r="F17" s="6" t="n">
        <f aca="false">IF(D17="Yes",1/Inputs!$C$15,1)</f>
        <v>1</v>
      </c>
      <c r="G17" s="6" t="n">
        <f aca="false">E17*F17</f>
        <v>1819</v>
      </c>
      <c r="H17" s="6" t="s">
        <v>165</v>
      </c>
      <c r="I17" s="6" t="n">
        <f aca="false">G17/H17</f>
        <v>1819</v>
      </c>
      <c r="J17" s="9" t="n">
        <f aca="false">Inputs!$C$18</f>
        <v>30</v>
      </c>
      <c r="K17" s="6" t="n">
        <f aca="false">I17*J17/60</f>
        <v>909.5</v>
      </c>
      <c r="L17" s="9" t="n">
        <f aca="false">Inputs!$C$12</f>
        <v>432</v>
      </c>
      <c r="M17" s="4" t="n">
        <f aca="false">ROUNDUP(K17/L17,0)</f>
        <v>3</v>
      </c>
      <c r="N17" s="17" t="n">
        <f aca="false">K17/(M17*L17)</f>
        <v>0.701774691358025</v>
      </c>
      <c r="O17" s="6" t="n">
        <f aca="false">M17*Inputs!$C$17</f>
        <v>3</v>
      </c>
      <c r="P17" s="7" t="s">
        <v>184</v>
      </c>
    </row>
    <row r="18" customFormat="false" ht="15" hidden="false" customHeight="false" outlineLevel="0" collapsed="false">
      <c r="A18" s="18" t="s">
        <v>185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8" t="n">
        <f aca="false">SUM(M4:M17)</f>
        <v>41</v>
      </c>
      <c r="N18" s="19"/>
      <c r="O18" s="18" t="n">
        <f aca="false">SUM(O4:O17)</f>
        <v>41</v>
      </c>
      <c r="P18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1" t="s">
        <v>186</v>
      </c>
    </row>
    <row r="3" customFormat="false" ht="15" hidden="false" customHeight="false" outlineLevel="0" collapsed="false">
      <c r="A3" s="10" t="s">
        <v>187</v>
      </c>
    </row>
    <row r="5" customFormat="false" ht="15" hidden="false" customHeight="false" outlineLevel="0" collapsed="false">
      <c r="A5" s="4" t="s">
        <v>188</v>
      </c>
      <c r="B5" s="9" t="n">
        <f aca="false">Inputs!$C$7*Inputs!$C$46</f>
        <v>5457</v>
      </c>
      <c r="C5" s="6" t="s">
        <v>189</v>
      </c>
    </row>
    <row r="6" customFormat="false" ht="15" hidden="false" customHeight="false" outlineLevel="0" collapsed="false">
      <c r="A6" s="4" t="s">
        <v>190</v>
      </c>
      <c r="B6" s="9" t="n">
        <f aca="false">Inputs!$C$45</f>
        <v>600</v>
      </c>
      <c r="C6" s="6" t="s">
        <v>93</v>
      </c>
    </row>
    <row r="7" customFormat="false" ht="15" hidden="false" customHeight="false" outlineLevel="0" collapsed="false">
      <c r="A7" s="4" t="s">
        <v>191</v>
      </c>
      <c r="B7" s="6" t="n">
        <f aca="false">B5/B6</f>
        <v>9.095</v>
      </c>
      <c r="C7" s="6" t="s">
        <v>192</v>
      </c>
    </row>
    <row r="8" customFormat="false" ht="15" hidden="false" customHeight="false" outlineLevel="0" collapsed="false">
      <c r="A8" s="4" t="s">
        <v>193</v>
      </c>
      <c r="B8" s="9" t="n">
        <f aca="false">Inputs!$C$12/60</f>
        <v>7.2</v>
      </c>
      <c r="C8" s="6" t="s">
        <v>90</v>
      </c>
    </row>
    <row r="9" customFormat="false" ht="15" hidden="false" customHeight="false" outlineLevel="0" collapsed="false">
      <c r="A9" s="4" t="s">
        <v>194</v>
      </c>
      <c r="B9" s="4" t="n">
        <f aca="false">ROUNDUP(B7/B8,0)</f>
        <v>2</v>
      </c>
      <c r="C9" s="6" t="s">
        <v>195</v>
      </c>
    </row>
    <row r="10" customFormat="false" ht="15" hidden="false" customHeight="false" outlineLevel="0" collapsed="false">
      <c r="A10" s="2" t="s">
        <v>196</v>
      </c>
    </row>
    <row r="12" customFormat="false" ht="15" hidden="false" customHeight="false" outlineLevel="0" collapsed="false">
      <c r="A12" s="10" t="s">
        <v>197</v>
      </c>
    </row>
    <row r="13" customFormat="false" ht="15" hidden="false" customHeight="false" outlineLevel="0" collapsed="false">
      <c r="A13" s="4" t="s">
        <v>198</v>
      </c>
      <c r="B13" s="9" t="n">
        <f aca="false">Inputs!$C$7</f>
        <v>1819</v>
      </c>
      <c r="C13" s="6" t="s">
        <v>189</v>
      </c>
    </row>
    <row r="14" customFormat="false" ht="15" hidden="false" customHeight="false" outlineLevel="0" collapsed="false">
      <c r="A14" s="4" t="s">
        <v>199</v>
      </c>
      <c r="B14" s="9" t="n">
        <f aca="false">Inputs!$C$44</f>
        <v>6</v>
      </c>
      <c r="C14" s="6" t="s">
        <v>200</v>
      </c>
    </row>
    <row r="15" customFormat="false" ht="15" hidden="false" customHeight="false" outlineLevel="0" collapsed="false">
      <c r="A15" s="4" t="s">
        <v>201</v>
      </c>
      <c r="B15" s="5" t="n">
        <v>1</v>
      </c>
      <c r="C15" s="6" t="s">
        <v>202</v>
      </c>
    </row>
    <row r="16" customFormat="false" ht="15" hidden="false" customHeight="false" outlineLevel="0" collapsed="false">
      <c r="A16" s="2" t="s">
        <v>203</v>
      </c>
    </row>
    <row r="18" customFormat="false" ht="15" hidden="false" customHeight="false" outlineLevel="0" collapsed="false">
      <c r="A18" s="10" t="s">
        <v>204</v>
      </c>
    </row>
    <row r="19" customFormat="false" ht="15" hidden="false" customHeight="false" outlineLevel="0" collapsed="false">
      <c r="A19" s="4" t="s">
        <v>205</v>
      </c>
      <c r="B19" s="9" t="n">
        <f aca="false">Inputs!$C$7</f>
        <v>1819</v>
      </c>
      <c r="C19" s="6" t="s">
        <v>189</v>
      </c>
    </row>
    <row r="20" customFormat="false" ht="15" hidden="false" customHeight="false" outlineLevel="0" collapsed="false">
      <c r="A20" s="2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1" t="s">
        <v>207</v>
      </c>
    </row>
    <row r="3" customFormat="false" ht="15" hidden="false" customHeight="false" outlineLevel="0" collapsed="false">
      <c r="A3" s="10" t="s">
        <v>208</v>
      </c>
    </row>
    <row r="4" customFormat="false" ht="15" hidden="false" customHeight="false" outlineLevel="0" collapsed="false">
      <c r="A4" s="4" t="s">
        <v>209</v>
      </c>
      <c r="B4" s="9" t="n">
        <f aca="false">Inputs!$C$22</f>
        <v>2</v>
      </c>
      <c r="C4" s="6" t="s">
        <v>48</v>
      </c>
    </row>
    <row r="5" customFormat="false" ht="15" hidden="false" customHeight="false" outlineLevel="0" collapsed="false">
      <c r="A5" s="4" t="s">
        <v>210</v>
      </c>
      <c r="B5" s="6" t="n">
        <f aca="false">Inputs!$C$7*B4</f>
        <v>3638</v>
      </c>
      <c r="C5" s="6" t="s">
        <v>211</v>
      </c>
    </row>
    <row r="6" customFormat="false" ht="15" hidden="false" customHeight="false" outlineLevel="0" collapsed="false">
      <c r="A6" s="4" t="s">
        <v>212</v>
      </c>
      <c r="B6" s="6" t="n">
        <f aca="false">B5/Inputs!$C$15</f>
        <v>3829.47368421053</v>
      </c>
      <c r="C6" s="6" t="s">
        <v>211</v>
      </c>
    </row>
    <row r="7" customFormat="false" ht="15" hidden="false" customHeight="false" outlineLevel="0" collapsed="false">
      <c r="A7" s="4" t="s">
        <v>213</v>
      </c>
      <c r="B7" s="9" t="n">
        <f aca="false">Inputs!$C$21</f>
        <v>40</v>
      </c>
      <c r="C7" s="6" t="s">
        <v>48</v>
      </c>
    </row>
    <row r="8" customFormat="false" ht="15" hidden="false" customHeight="false" outlineLevel="0" collapsed="false">
      <c r="A8" s="4" t="s">
        <v>214</v>
      </c>
      <c r="B8" s="4" t="n">
        <f aca="false">ROUNDUP(B6/B7,0)</f>
        <v>96</v>
      </c>
      <c r="C8" s="6" t="s">
        <v>215</v>
      </c>
    </row>
    <row r="9" customFormat="false" ht="15" hidden="false" customHeight="false" outlineLevel="0" collapsed="false">
      <c r="A9" s="4" t="s">
        <v>216</v>
      </c>
      <c r="B9" s="4" t="n">
        <f aca="false">B8*Inputs!$C$30</f>
        <v>960</v>
      </c>
      <c r="C9" s="6" t="s">
        <v>82</v>
      </c>
    </row>
    <row r="11" customFormat="false" ht="15" hidden="false" customHeight="false" outlineLevel="0" collapsed="false">
      <c r="A11" s="10" t="s">
        <v>217</v>
      </c>
    </row>
    <row r="12" customFormat="false" ht="15" hidden="false" customHeight="false" outlineLevel="0" collapsed="false">
      <c r="A12" s="4" t="s">
        <v>218</v>
      </c>
      <c r="B12" s="9" t="n">
        <f aca="false">Inputs!$C$23*Inputs!$C$24</f>
        <v>3.125</v>
      </c>
      <c r="C12" s="6" t="s">
        <v>79</v>
      </c>
    </row>
    <row r="13" customFormat="false" ht="15" hidden="false" customHeight="false" outlineLevel="0" collapsed="false">
      <c r="A13" s="4" t="s">
        <v>219</v>
      </c>
      <c r="B13" s="9" t="n">
        <f aca="false">Inputs!$C$26*Inputs!$C$27</f>
        <v>0.0238</v>
      </c>
      <c r="C13" s="6" t="s">
        <v>79</v>
      </c>
    </row>
    <row r="14" customFormat="false" ht="15" hidden="false" customHeight="false" outlineLevel="0" collapsed="false">
      <c r="A14" s="4" t="s">
        <v>220</v>
      </c>
      <c r="B14" s="9" t="n">
        <f aca="false">Inputs!$C$28*Inputs!$C$29</f>
        <v>0.004</v>
      </c>
      <c r="C14" s="6" t="s">
        <v>79</v>
      </c>
    </row>
    <row r="15" customFormat="false" ht="15" hidden="false" customHeight="false" outlineLevel="0" collapsed="false">
      <c r="A15" s="4" t="s">
        <v>221</v>
      </c>
      <c r="B15" s="6" t="n">
        <f aca="false">FLOOR(B12*Inputs!$C$25/B13,1)</f>
        <v>98</v>
      </c>
      <c r="C15" s="6" t="s">
        <v>222</v>
      </c>
    </row>
    <row r="16" customFormat="false" ht="15" hidden="false" customHeight="false" outlineLevel="0" collapsed="false">
      <c r="A16" s="4" t="s">
        <v>223</v>
      </c>
      <c r="B16" s="6" t="n">
        <f aca="false">FLOOR(B12*Inputs!$C$25/B14,1)</f>
        <v>585</v>
      </c>
      <c r="C16" s="6" t="s">
        <v>222</v>
      </c>
    </row>
    <row r="17" customFormat="false" ht="15" hidden="false" customHeight="false" outlineLevel="0" collapsed="false">
      <c r="A17" s="4" t="s">
        <v>224</v>
      </c>
      <c r="B17" s="6" t="n">
        <f aca="false">Inputs!$C$7/Inputs!$C$15</f>
        <v>1914.73684210526</v>
      </c>
      <c r="C17" s="6" t="s">
        <v>225</v>
      </c>
    </row>
    <row r="18" customFormat="false" ht="15" hidden="false" customHeight="false" outlineLevel="0" collapsed="false">
      <c r="A18" s="4" t="s">
        <v>226</v>
      </c>
      <c r="B18" s="6" t="n">
        <f aca="false">Inputs!$C$7/Inputs!$C$15</f>
        <v>1914.73684210526</v>
      </c>
      <c r="C18" s="6" t="s">
        <v>225</v>
      </c>
    </row>
    <row r="19" customFormat="false" ht="15" hidden="false" customHeight="false" outlineLevel="0" collapsed="false">
      <c r="A19" s="4" t="s">
        <v>227</v>
      </c>
      <c r="B19" s="6" t="n">
        <f aca="false">ROUNDUP(B17/B15,0)</f>
        <v>20</v>
      </c>
      <c r="C19" s="6" t="s">
        <v>228</v>
      </c>
    </row>
    <row r="20" customFormat="false" ht="15" hidden="false" customHeight="false" outlineLevel="0" collapsed="false">
      <c r="A20" s="4" t="s">
        <v>229</v>
      </c>
      <c r="B20" s="6" t="n">
        <f aca="false">ROUNDUP(B18/B16,0)</f>
        <v>4</v>
      </c>
      <c r="C20" s="6" t="s">
        <v>228</v>
      </c>
    </row>
    <row r="21" customFormat="false" ht="15" hidden="false" customHeight="false" outlineLevel="0" collapsed="false">
      <c r="A21" s="4" t="s">
        <v>230</v>
      </c>
      <c r="B21" s="4" t="n">
        <f aca="false">B19+B20</f>
        <v>24</v>
      </c>
      <c r="C21" s="6" t="s">
        <v>228</v>
      </c>
    </row>
    <row r="22" customFormat="false" ht="15" hidden="false" customHeight="false" outlineLevel="0" collapsed="false">
      <c r="A22" s="4" t="s">
        <v>231</v>
      </c>
      <c r="B22" s="4" t="n">
        <f aca="false">B21*Inputs!$C$30</f>
        <v>240</v>
      </c>
      <c r="C22" s="6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1" t="s">
        <v>232</v>
      </c>
    </row>
    <row r="3" customFormat="false" ht="15" hidden="false" customHeight="false" outlineLevel="0" collapsed="false">
      <c r="A3" s="10" t="s">
        <v>233</v>
      </c>
    </row>
    <row r="4" customFormat="false" ht="15" hidden="false" customHeight="false" outlineLevel="0" collapsed="false">
      <c r="A4" s="4" t="s">
        <v>234</v>
      </c>
      <c r="B4" s="6" t="n">
        <f aca="false">Inputs!$C$30*Inputs!$C$7</f>
        <v>18190</v>
      </c>
      <c r="C4" s="6" t="s">
        <v>70</v>
      </c>
    </row>
    <row r="5" customFormat="false" ht="15" hidden="false" customHeight="false" outlineLevel="0" collapsed="false">
      <c r="A5" s="4" t="s">
        <v>235</v>
      </c>
      <c r="B5" s="6" t="n">
        <f aca="false">Inputs!$C$31*Inputs!$C$7</f>
        <v>36380</v>
      </c>
      <c r="C5" s="6" t="s">
        <v>70</v>
      </c>
    </row>
    <row r="6" customFormat="false" ht="15" hidden="false" customHeight="false" outlineLevel="0" collapsed="false">
      <c r="A6" s="4" t="s">
        <v>236</v>
      </c>
      <c r="B6" s="6" t="n">
        <f aca="false">Inputs!$C$32*Inputs!$C$7</f>
        <v>1819</v>
      </c>
      <c r="C6" s="6" t="s">
        <v>70</v>
      </c>
    </row>
    <row r="8" customFormat="false" ht="15" hidden="false" customHeight="false" outlineLevel="0" collapsed="false">
      <c r="A8" s="10" t="s">
        <v>237</v>
      </c>
    </row>
    <row r="9" customFormat="false" ht="15" hidden="false" customHeight="false" outlineLevel="0" collapsed="false">
      <c r="A9" s="4" t="s">
        <v>69</v>
      </c>
      <c r="B9" s="9" t="n">
        <f aca="false">Inputs!$C$33</f>
        <v>10</v>
      </c>
      <c r="C9" s="6" t="s">
        <v>70</v>
      </c>
    </row>
    <row r="10" customFormat="false" ht="15" hidden="false" customHeight="false" outlineLevel="0" collapsed="false">
      <c r="A10" s="4" t="s">
        <v>71</v>
      </c>
      <c r="B10" s="9" t="n">
        <f aca="false">Inputs!$C$34</f>
        <v>40</v>
      </c>
      <c r="C10" s="6" t="s">
        <v>72</v>
      </c>
    </row>
    <row r="11" customFormat="false" ht="15" hidden="false" customHeight="false" outlineLevel="0" collapsed="false">
      <c r="A11" s="4" t="s">
        <v>73</v>
      </c>
      <c r="B11" s="9" t="n">
        <f aca="false">Inputs!$C$35</f>
        <v>400</v>
      </c>
      <c r="C11" s="6" t="s">
        <v>70</v>
      </c>
    </row>
    <row r="12" customFormat="false" ht="15" hidden="false" customHeight="false" outlineLevel="0" collapsed="false">
      <c r="A12" s="4" t="s">
        <v>238</v>
      </c>
      <c r="B12" s="6" t="n">
        <f aca="false">ROUNDUP(Inputs!$C$7/Inputs!$C$33,0)</f>
        <v>182</v>
      </c>
      <c r="C12" s="6" t="s">
        <v>239</v>
      </c>
    </row>
    <row r="13" customFormat="false" ht="15" hidden="false" customHeight="false" outlineLevel="0" collapsed="false">
      <c r="A13" s="4" t="s">
        <v>240</v>
      </c>
      <c r="B13" s="4" t="n">
        <f aca="false">ROUNDUP(Inputs!$C$7/Inputs!$C$35,0)</f>
        <v>5</v>
      </c>
      <c r="C13" s="6" t="s">
        <v>241</v>
      </c>
    </row>
    <row r="14" customFormat="false" ht="15" hidden="false" customHeight="false" outlineLevel="0" collapsed="false">
      <c r="A14" s="4" t="s">
        <v>242</v>
      </c>
      <c r="B14" s="6" t="n">
        <f aca="false">Inputs!$C$35</f>
        <v>400</v>
      </c>
      <c r="C14" s="6" t="s">
        <v>243</v>
      </c>
    </row>
    <row r="15" customFormat="false" ht="15" hidden="false" customHeight="false" outlineLevel="0" collapsed="false">
      <c r="A15" s="4" t="s">
        <v>244</v>
      </c>
      <c r="B15" s="6" t="s">
        <v>245</v>
      </c>
      <c r="C15" s="6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6"/>
  </cols>
  <sheetData>
    <row r="1" customFormat="false" ht="16.15" hidden="false" customHeight="false" outlineLevel="0" collapsed="false">
      <c r="A1" s="1" t="s">
        <v>246</v>
      </c>
    </row>
    <row r="3" customFormat="false" ht="15" hidden="false" customHeight="false" outlineLevel="0" collapsed="false">
      <c r="A3" s="3" t="s">
        <v>247</v>
      </c>
      <c r="B3" s="3" t="s">
        <v>248</v>
      </c>
      <c r="C3" s="3" t="s">
        <v>249</v>
      </c>
      <c r="D3" s="3" t="s">
        <v>250</v>
      </c>
      <c r="E3" s="3" t="s">
        <v>124</v>
      </c>
    </row>
    <row r="4" customFormat="false" ht="15" hidden="false" customHeight="false" outlineLevel="0" collapsed="false">
      <c r="A4" s="4" t="s">
        <v>251</v>
      </c>
      <c r="B4" s="6" t="n">
        <f aca="false">RawMaterials!B9</f>
        <v>960</v>
      </c>
      <c r="C4" s="6" t="n">
        <f aca="false">ROUNDUP(RawMaterials!B9/Inputs!$C$40,0)</f>
        <v>4</v>
      </c>
      <c r="D4" s="4" t="n">
        <f aca="false">C4*Inputs!$C$41*Inputs!$C$43</f>
        <v>38.4</v>
      </c>
      <c r="E4" s="7" t="s">
        <v>252</v>
      </c>
    </row>
    <row r="5" customFormat="false" ht="15" hidden="false" customHeight="false" outlineLevel="0" collapsed="false">
      <c r="A5" s="4" t="s">
        <v>253</v>
      </c>
      <c r="B5" s="6" t="n">
        <f aca="false">RawMaterials!B22</f>
        <v>240</v>
      </c>
      <c r="C5" s="6" t="n">
        <f aca="false">ROUNDUP(RawMaterials!B22/Inputs!$C$42,0)</f>
        <v>2</v>
      </c>
      <c r="D5" s="4" t="n">
        <f aca="false">C5*(Inputs!$C$23*Inputs!$C$24)*Inputs!$C$43</f>
        <v>10</v>
      </c>
      <c r="E5" s="7" t="s">
        <v>254</v>
      </c>
    </row>
    <row r="6" customFormat="false" ht="15" hidden="false" customHeight="false" outlineLevel="0" collapsed="false">
      <c r="A6" s="4" t="s">
        <v>255</v>
      </c>
      <c r="B6" s="6" t="n">
        <f aca="false">ROUNDUP(Inventory_Pack!B5/Inputs!$C$35,0)</f>
        <v>91</v>
      </c>
      <c r="C6" s="6" t="n">
        <f aca="false">ROUNDUP(B6/Inputs!$C$39,0)</f>
        <v>31</v>
      </c>
      <c r="D6" s="4" t="n">
        <f aca="false">C6*Inputs!$C$38*Inputs!$C$43</f>
        <v>59.52</v>
      </c>
      <c r="E6" s="7" t="s">
        <v>256</v>
      </c>
    </row>
    <row r="7" customFormat="false" ht="15" hidden="false" customHeight="false" outlineLevel="0" collapsed="false">
      <c r="A7" s="4" t="s">
        <v>257</v>
      </c>
      <c r="B7" s="6" t="n">
        <f aca="false">ROUNDUP(Inventory_Pack!B6/Inputs!$C$35,0)</f>
        <v>5</v>
      </c>
      <c r="C7" s="6" t="n">
        <f aca="false">ROUNDUP(B7/Inputs!$C$39,0)</f>
        <v>2</v>
      </c>
      <c r="D7" s="4" t="n">
        <f aca="false">C7*Inputs!$C$38*Inputs!$C$43</f>
        <v>3.84</v>
      </c>
      <c r="E7" s="7" t="s">
        <v>258</v>
      </c>
    </row>
    <row r="8" customFormat="false" ht="15" hidden="false" customHeight="false" outlineLevel="0" collapsed="false">
      <c r="A8" s="4" t="s">
        <v>259</v>
      </c>
      <c r="B8" s="6" t="s">
        <v>38</v>
      </c>
      <c r="C8" s="6" t="s">
        <v>38</v>
      </c>
      <c r="D8" s="4" t="n">
        <f aca="false">Inputs!$C$52</f>
        <v>40</v>
      </c>
      <c r="E8" s="7" t="s">
        <v>56</v>
      </c>
    </row>
    <row r="9" customFormat="false" ht="15" hidden="false" customHeight="false" outlineLevel="0" collapsed="false">
      <c r="A9" s="18" t="s">
        <v>260</v>
      </c>
      <c r="B9" s="19"/>
      <c r="C9" s="19"/>
      <c r="D9" s="18" t="n">
        <f aca="false">SUM(D4:D8)</f>
        <v>151.76</v>
      </c>
      <c r="E9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34"/>
  </cols>
  <sheetData>
    <row r="1" customFormat="false" ht="16.15" hidden="false" customHeight="false" outlineLevel="0" collapsed="false">
      <c r="A1" s="1" t="s">
        <v>261</v>
      </c>
    </row>
    <row r="3" customFormat="false" ht="15" hidden="false" customHeight="false" outlineLevel="0" collapsed="false">
      <c r="A3" s="3" t="s">
        <v>262</v>
      </c>
      <c r="B3" s="3" t="s">
        <v>263</v>
      </c>
      <c r="C3" s="3" t="s">
        <v>157</v>
      </c>
    </row>
    <row r="4" customFormat="false" ht="15" hidden="false" customHeight="false" outlineLevel="0" collapsed="false">
      <c r="A4" s="6" t="s">
        <v>264</v>
      </c>
      <c r="B4" s="5" t="n">
        <v>1</v>
      </c>
      <c r="C4" s="7" t="s">
        <v>125</v>
      </c>
    </row>
    <row r="5" customFormat="false" ht="15" hidden="false" customHeight="false" outlineLevel="0" collapsed="false">
      <c r="A5" s="6" t="s">
        <v>265</v>
      </c>
      <c r="B5" s="5" t="n">
        <v>1</v>
      </c>
      <c r="C5" s="7" t="s">
        <v>125</v>
      </c>
    </row>
    <row r="6" customFormat="false" ht="15" hidden="false" customHeight="false" outlineLevel="0" collapsed="false">
      <c r="A6" s="6" t="s">
        <v>266</v>
      </c>
      <c r="B6" s="5" t="n">
        <v>1</v>
      </c>
      <c r="C6" s="7" t="s">
        <v>125</v>
      </c>
    </row>
    <row r="7" customFormat="false" ht="15" hidden="false" customHeight="false" outlineLevel="0" collapsed="false">
      <c r="A7" s="6" t="s">
        <v>267</v>
      </c>
      <c r="B7" s="5" t="n">
        <v>1</v>
      </c>
      <c r="C7" s="7" t="s">
        <v>125</v>
      </c>
    </row>
    <row r="8" customFormat="false" ht="15" hidden="false" customHeight="false" outlineLevel="0" collapsed="false">
      <c r="A8" s="6" t="s">
        <v>268</v>
      </c>
      <c r="B8" s="5" t="n">
        <v>1</v>
      </c>
      <c r="C8" s="7" t="s">
        <v>125</v>
      </c>
    </row>
    <row r="9" customFormat="false" ht="15" hidden="false" customHeight="false" outlineLevel="0" collapsed="false">
      <c r="A9" s="6" t="s">
        <v>269</v>
      </c>
      <c r="B9" s="5" t="n">
        <v>2</v>
      </c>
      <c r="C9" s="7" t="s">
        <v>270</v>
      </c>
    </row>
    <row r="10" customFormat="false" ht="15" hidden="false" customHeight="false" outlineLevel="0" collapsed="false">
      <c r="A10" s="6" t="s">
        <v>271</v>
      </c>
      <c r="B10" s="5" t="n">
        <v>1</v>
      </c>
      <c r="C10" s="7" t="s">
        <v>125</v>
      </c>
    </row>
    <row r="11" customFormat="false" ht="15" hidden="false" customHeight="false" outlineLevel="0" collapsed="false">
      <c r="A11" s="6" t="s">
        <v>272</v>
      </c>
      <c r="B11" s="5" t="n">
        <v>1</v>
      </c>
      <c r="C11" s="7" t="s">
        <v>125</v>
      </c>
    </row>
    <row r="12" customFormat="false" ht="15" hidden="false" customHeight="false" outlineLevel="0" collapsed="false">
      <c r="A12" s="6" t="s">
        <v>273</v>
      </c>
      <c r="B12" s="5" t="n">
        <v>1</v>
      </c>
      <c r="C12" s="7" t="s">
        <v>125</v>
      </c>
    </row>
    <row r="13" customFormat="false" ht="15" hidden="false" customHeight="false" outlineLevel="0" collapsed="false">
      <c r="A13" s="6" t="s">
        <v>274</v>
      </c>
      <c r="B13" s="5" t="n">
        <v>4</v>
      </c>
      <c r="C13" s="7" t="s">
        <v>275</v>
      </c>
    </row>
    <row r="14" customFormat="false" ht="15" hidden="false" customHeight="false" outlineLevel="0" collapsed="false">
      <c r="A14" s="6" t="s">
        <v>276</v>
      </c>
      <c r="B14" s="5" t="n">
        <v>3</v>
      </c>
      <c r="C14" s="7" t="s">
        <v>56</v>
      </c>
    </row>
    <row r="15" customFormat="false" ht="15" hidden="false" customHeight="false" outlineLevel="0" collapsed="false">
      <c r="A15" s="6" t="s">
        <v>277</v>
      </c>
      <c r="B15" s="5" t="n">
        <v>5</v>
      </c>
      <c r="C15" s="7" t="s">
        <v>56</v>
      </c>
    </row>
    <row r="16" customFormat="false" ht="15" hidden="false" customHeight="false" outlineLevel="0" collapsed="false">
      <c r="A16" s="6" t="s">
        <v>278</v>
      </c>
      <c r="B16" s="5" t="n">
        <v>4</v>
      </c>
      <c r="C16" s="7" t="s">
        <v>279</v>
      </c>
    </row>
    <row r="17" customFormat="false" ht="15" hidden="false" customHeight="false" outlineLevel="0" collapsed="false">
      <c r="A17" s="6" t="s">
        <v>280</v>
      </c>
      <c r="B17" s="9" t="n">
        <f aca="false">Capacity!O18</f>
        <v>41</v>
      </c>
      <c r="C17" s="7" t="s">
        <v>281</v>
      </c>
    </row>
    <row r="18" customFormat="false" ht="15" hidden="false" customHeight="false" outlineLevel="0" collapsed="false">
      <c r="A18" s="18" t="s">
        <v>282</v>
      </c>
      <c r="B18" s="18" t="n">
        <f aca="false">SUM(B4:B17)</f>
        <v>67</v>
      </c>
      <c r="C18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1" t="s">
        <v>283</v>
      </c>
    </row>
    <row r="3" customFormat="false" ht="15" hidden="false" customHeight="false" outlineLevel="0" collapsed="false">
      <c r="A3" s="4" t="s">
        <v>284</v>
      </c>
      <c r="B3" s="9" t="n">
        <f aca="false">Personnel!B18</f>
        <v>67</v>
      </c>
      <c r="C3" s="6" t="s">
        <v>285</v>
      </c>
    </row>
    <row r="4" customFormat="false" ht="15" hidden="false" customHeight="false" outlineLevel="0" collapsed="false">
      <c r="A4" s="4" t="s">
        <v>286</v>
      </c>
      <c r="B4" s="6" t="n">
        <f aca="false">B3*Inputs!$C$56</f>
        <v>67</v>
      </c>
      <c r="C4" s="6" t="s">
        <v>115</v>
      </c>
    </row>
    <row r="5" customFormat="false" ht="15" hidden="false" customHeight="false" outlineLevel="0" collapsed="false">
      <c r="A5" s="4" t="s">
        <v>114</v>
      </c>
      <c r="B5" s="9" t="n">
        <f aca="false">Inputs!$C$57</f>
        <v>10</v>
      </c>
      <c r="C5" s="6" t="s">
        <v>115</v>
      </c>
    </row>
    <row r="6" customFormat="false" ht="15" hidden="false" customHeight="false" outlineLevel="0" collapsed="false">
      <c r="A6" s="4" t="s">
        <v>287</v>
      </c>
      <c r="B6" s="4" t="n">
        <f aca="false">B4+B5</f>
        <v>77</v>
      </c>
      <c r="C6" s="6" t="s">
        <v>115</v>
      </c>
    </row>
    <row r="7" customFormat="false" ht="15" hidden="false" customHeight="false" outlineLevel="0" collapsed="false">
      <c r="A7" s="4" t="s">
        <v>288</v>
      </c>
      <c r="B7" s="4" t="n">
        <f aca="false">B6*Inputs!$C$58</f>
        <v>1925</v>
      </c>
      <c r="C7" s="6" t="s">
        <v>79</v>
      </c>
    </row>
    <row r="8" customFormat="false" ht="15" hidden="false" customHeight="false" outlineLevel="0" collapsed="false">
      <c r="A8" s="4" t="s">
        <v>118</v>
      </c>
      <c r="B8" s="9" t="n">
        <f aca="false">Inputs!$C$59</f>
        <v>6</v>
      </c>
      <c r="C8" s="6" t="s">
        <v>115</v>
      </c>
    </row>
    <row r="9" customFormat="false" ht="15" hidden="false" customHeight="false" outlineLevel="0" collapsed="false">
      <c r="A9" s="4" t="s">
        <v>289</v>
      </c>
      <c r="B9" s="4" t="n">
        <f aca="false">B8*Inputs!$C$60</f>
        <v>360</v>
      </c>
      <c r="C9" s="6" t="s">
        <v>79</v>
      </c>
    </row>
    <row r="10" customFormat="false" ht="15" hidden="false" customHeight="false" outlineLevel="0" collapsed="false">
      <c r="A10" s="4" t="s">
        <v>290</v>
      </c>
      <c r="B10" s="4" t="n">
        <f aca="false">B7+B9</f>
        <v>2285</v>
      </c>
      <c r="C10" s="6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34"/>
  </cols>
  <sheetData>
    <row r="1" customFormat="false" ht="16.15" hidden="false" customHeight="false" outlineLevel="0" collapsed="false">
      <c r="A1" s="1" t="s">
        <v>291</v>
      </c>
    </row>
    <row r="3" customFormat="false" ht="15" hidden="false" customHeight="false" outlineLevel="0" collapsed="false">
      <c r="A3" s="3" t="s">
        <v>292</v>
      </c>
      <c r="B3" s="3" t="s">
        <v>250</v>
      </c>
      <c r="C3" s="3" t="s">
        <v>124</v>
      </c>
    </row>
    <row r="4" customFormat="false" ht="15" hidden="false" customHeight="false" outlineLevel="0" collapsed="false">
      <c r="A4" s="6" t="s">
        <v>293</v>
      </c>
      <c r="B4" s="6" t="n">
        <f aca="false">Capacity!M18*Inputs!$C$47</f>
        <v>246</v>
      </c>
      <c r="C4" s="7" t="s">
        <v>294</v>
      </c>
    </row>
    <row r="5" customFormat="false" ht="15" hidden="false" customHeight="false" outlineLevel="0" collapsed="false">
      <c r="A5" s="6" t="s">
        <v>295</v>
      </c>
      <c r="B5" s="9" t="n">
        <f aca="false">Inputs!$C$50</f>
        <v>120</v>
      </c>
      <c r="C5" s="7" t="s">
        <v>104</v>
      </c>
    </row>
    <row r="6" customFormat="false" ht="15" hidden="false" customHeight="false" outlineLevel="0" collapsed="false">
      <c r="A6" s="6" t="s">
        <v>296</v>
      </c>
      <c r="B6" s="9" t="n">
        <f aca="false">Inputs!$C$51</f>
        <v>80</v>
      </c>
      <c r="C6" s="7" t="s">
        <v>104</v>
      </c>
    </row>
    <row r="7" customFormat="false" ht="15" hidden="false" customHeight="false" outlineLevel="0" collapsed="false">
      <c r="A7" s="6" t="s">
        <v>297</v>
      </c>
      <c r="B7" s="9" t="n">
        <f aca="false">Storage_3D!D4+Storage_3D!D5+Storage_3D!D7+Storage_3D!D8</f>
        <v>92.24</v>
      </c>
      <c r="C7" s="7" t="s">
        <v>298</v>
      </c>
    </row>
    <row r="8" customFormat="false" ht="15" hidden="false" customHeight="false" outlineLevel="0" collapsed="false">
      <c r="A8" s="6" t="s">
        <v>299</v>
      </c>
      <c r="B8" s="9" t="n">
        <f aca="false">Storage_3D!D6</f>
        <v>59.52</v>
      </c>
      <c r="C8" s="7" t="s">
        <v>298</v>
      </c>
    </row>
    <row r="9" customFormat="false" ht="15" hidden="false" customHeight="false" outlineLevel="0" collapsed="false">
      <c r="A9" s="6" t="s">
        <v>300</v>
      </c>
      <c r="B9" s="9" t="n">
        <f aca="false">Inputs!$C$53</f>
        <v>250</v>
      </c>
      <c r="C9" s="7" t="s">
        <v>108</v>
      </c>
    </row>
    <row r="10" customFormat="false" ht="15" hidden="false" customHeight="false" outlineLevel="0" collapsed="false">
      <c r="A10" s="6" t="s">
        <v>301</v>
      </c>
      <c r="B10" s="9" t="n">
        <f aca="false">(Personnel!B18-Capacity!O18)*Inputs!$C$54</f>
        <v>260</v>
      </c>
      <c r="C10" s="7" t="s">
        <v>302</v>
      </c>
    </row>
    <row r="11" customFormat="false" ht="15" hidden="false" customHeight="false" outlineLevel="0" collapsed="false">
      <c r="A11" s="6" t="s">
        <v>303</v>
      </c>
      <c r="B11" s="9" t="n">
        <f aca="false">Personnel!B18*Inputs!$C$55</f>
        <v>268</v>
      </c>
      <c r="C11" s="7" t="s">
        <v>304</v>
      </c>
    </row>
    <row r="12" customFormat="false" ht="15" hidden="false" customHeight="false" outlineLevel="0" collapsed="false">
      <c r="A12" s="4" t="s">
        <v>305</v>
      </c>
      <c r="B12" s="4" t="n">
        <f aca="false">SUM(B4:B11)</f>
        <v>1375.76</v>
      </c>
      <c r="C12" s="20"/>
    </row>
    <row r="13" customFormat="false" ht="15" hidden="false" customHeight="false" outlineLevel="0" collapsed="false">
      <c r="A13" s="6" t="s">
        <v>306</v>
      </c>
      <c r="B13" s="6" t="n">
        <f aca="false">B12*Inputs!$C$48</f>
        <v>412.728</v>
      </c>
      <c r="C13" s="7" t="s">
        <v>307</v>
      </c>
    </row>
    <row r="14" customFormat="false" ht="15" hidden="false" customHeight="false" outlineLevel="0" collapsed="false">
      <c r="A14" s="4" t="s">
        <v>308</v>
      </c>
      <c r="B14" s="4" t="n">
        <f aca="false">B12+B13</f>
        <v>1788.488</v>
      </c>
      <c r="C14" s="20"/>
    </row>
    <row r="15" customFormat="false" ht="15" hidden="false" customHeight="false" outlineLevel="0" collapsed="false">
      <c r="A15" s="6" t="s">
        <v>309</v>
      </c>
      <c r="B15" s="6" t="n">
        <f aca="false">B14*Inputs!$C$49</f>
        <v>178.8488</v>
      </c>
      <c r="C15" s="20"/>
    </row>
    <row r="16" customFormat="false" ht="15" hidden="false" customHeight="false" outlineLevel="0" collapsed="false">
      <c r="A16" s="18" t="s">
        <v>310</v>
      </c>
      <c r="B16" s="18" t="n">
        <f aca="false">B14+B15</f>
        <v>1967.3368</v>
      </c>
      <c r="C16" s="19"/>
    </row>
    <row r="18" customFormat="false" ht="15" hidden="false" customHeight="false" outlineLevel="0" collapsed="false">
      <c r="A18" s="6" t="s">
        <v>311</v>
      </c>
      <c r="B18" s="9" t="n">
        <f aca="false">Parking!B10</f>
        <v>2285</v>
      </c>
      <c r="C18" s="7" t="s">
        <v>312</v>
      </c>
    </row>
    <row r="19" customFormat="false" ht="15" hidden="false" customHeight="false" outlineLevel="0" collapsed="false">
      <c r="A19" s="18" t="s">
        <v>313</v>
      </c>
      <c r="B19" s="18" t="n">
        <f aca="false">B16+B18</f>
        <v>4252.3368</v>
      </c>
      <c r="C19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</cols>
  <sheetData>
    <row r="1" customFormat="false" ht="16.15" hidden="false" customHeight="false" outlineLevel="0" collapsed="false">
      <c r="A1" s="1" t="s">
        <v>314</v>
      </c>
    </row>
    <row r="3" customFormat="false" ht="26.85" hidden="false" customHeight="false" outlineLevel="0" collapsed="false">
      <c r="A3" s="3" t="s">
        <v>315</v>
      </c>
      <c r="B3" s="3" t="s">
        <v>316</v>
      </c>
      <c r="C3" s="3" t="s">
        <v>317</v>
      </c>
      <c r="D3" s="3" t="s">
        <v>318</v>
      </c>
      <c r="E3" s="3" t="s">
        <v>319</v>
      </c>
      <c r="F3" s="3" t="s">
        <v>320</v>
      </c>
    </row>
    <row r="4" customFormat="false" ht="15" hidden="false" customHeight="false" outlineLevel="0" collapsed="false">
      <c r="A4" s="4" t="s">
        <v>158</v>
      </c>
      <c r="B4" s="6" t="s">
        <v>321</v>
      </c>
      <c r="C4" s="6" t="s">
        <v>322</v>
      </c>
      <c r="D4" s="6" t="s">
        <v>323</v>
      </c>
      <c r="E4" s="6" t="s">
        <v>324</v>
      </c>
      <c r="F4" s="6" t="s">
        <v>325</v>
      </c>
    </row>
    <row r="5" customFormat="false" ht="15" hidden="false" customHeight="false" outlineLevel="0" collapsed="false">
      <c r="A5" s="4" t="s">
        <v>326</v>
      </c>
      <c r="B5" s="6" t="s">
        <v>327</v>
      </c>
      <c r="C5" s="6" t="s">
        <v>328</v>
      </c>
      <c r="D5" s="6" t="s">
        <v>323</v>
      </c>
      <c r="E5" s="6" t="s">
        <v>324</v>
      </c>
      <c r="F5" s="6" t="s">
        <v>325</v>
      </c>
    </row>
    <row r="6" customFormat="false" ht="15" hidden="false" customHeight="false" outlineLevel="0" collapsed="false">
      <c r="A6" s="4" t="s">
        <v>329</v>
      </c>
      <c r="B6" s="6" t="s">
        <v>330</v>
      </c>
      <c r="C6" s="6" t="s">
        <v>331</v>
      </c>
      <c r="D6" s="6" t="s">
        <v>323</v>
      </c>
      <c r="E6" s="6" t="s">
        <v>324</v>
      </c>
      <c r="F6" s="6" t="s">
        <v>325</v>
      </c>
    </row>
    <row r="7" customFormat="false" ht="15" hidden="false" customHeight="false" outlineLevel="0" collapsed="false">
      <c r="A7" s="4" t="s">
        <v>332</v>
      </c>
      <c r="B7" s="6" t="s">
        <v>333</v>
      </c>
      <c r="C7" s="6" t="s">
        <v>331</v>
      </c>
      <c r="D7" s="6" t="s">
        <v>323</v>
      </c>
      <c r="E7" s="6" t="s">
        <v>324</v>
      </c>
      <c r="F7" s="6" t="s">
        <v>325</v>
      </c>
    </row>
    <row r="8" customFormat="false" ht="15" hidden="false" customHeight="false" outlineLevel="0" collapsed="false">
      <c r="A8" s="4" t="s">
        <v>334</v>
      </c>
      <c r="B8" s="6" t="s">
        <v>335</v>
      </c>
      <c r="C8" s="6" t="s">
        <v>336</v>
      </c>
      <c r="D8" s="6" t="s">
        <v>323</v>
      </c>
      <c r="E8" s="6" t="s">
        <v>324</v>
      </c>
      <c r="F8" s="6" t="s">
        <v>325</v>
      </c>
    </row>
    <row r="9" customFormat="false" ht="15" hidden="false" customHeight="false" outlineLevel="0" collapsed="false">
      <c r="A9" s="4" t="s">
        <v>337</v>
      </c>
      <c r="B9" s="6" t="s">
        <v>338</v>
      </c>
      <c r="C9" s="6" t="s">
        <v>331</v>
      </c>
      <c r="D9" s="6" t="s">
        <v>323</v>
      </c>
      <c r="E9" s="6" t="s">
        <v>324</v>
      </c>
      <c r="F9" s="6" t="s">
        <v>325</v>
      </c>
    </row>
    <row r="10" customFormat="false" ht="15" hidden="false" customHeight="false" outlineLevel="0" collapsed="false">
      <c r="A10" s="4" t="s">
        <v>339</v>
      </c>
      <c r="B10" s="6" t="s">
        <v>340</v>
      </c>
      <c r="C10" s="6" t="s">
        <v>341</v>
      </c>
      <c r="D10" s="6" t="s">
        <v>323</v>
      </c>
      <c r="E10" s="6" t="s">
        <v>324</v>
      </c>
      <c r="F10" s="6" t="s">
        <v>325</v>
      </c>
    </row>
    <row r="11" customFormat="false" ht="15" hidden="false" customHeight="false" outlineLevel="0" collapsed="false">
      <c r="A11" s="4" t="s">
        <v>342</v>
      </c>
      <c r="B11" s="6" t="s">
        <v>343</v>
      </c>
      <c r="C11" s="6" t="s">
        <v>344</v>
      </c>
      <c r="D11" s="6" t="s">
        <v>323</v>
      </c>
      <c r="E11" s="6" t="s">
        <v>324</v>
      </c>
      <c r="F11" s="6" t="s">
        <v>325</v>
      </c>
    </row>
    <row r="12" customFormat="false" ht="15" hidden="false" customHeight="false" outlineLevel="0" collapsed="false">
      <c r="A12" s="4" t="s">
        <v>345</v>
      </c>
      <c r="B12" s="6" t="s">
        <v>346</v>
      </c>
      <c r="C12" s="6" t="s">
        <v>347</v>
      </c>
      <c r="D12" s="6" t="s">
        <v>323</v>
      </c>
      <c r="E12" s="6" t="s">
        <v>324</v>
      </c>
      <c r="F12" s="6" t="s">
        <v>325</v>
      </c>
    </row>
    <row r="13" customFormat="false" ht="15" hidden="false" customHeight="false" outlineLevel="0" collapsed="false">
      <c r="A13" s="4" t="s">
        <v>348</v>
      </c>
      <c r="B13" s="6" t="s">
        <v>349</v>
      </c>
      <c r="C13" s="6" t="s">
        <v>350</v>
      </c>
      <c r="D13" s="6" t="s">
        <v>38</v>
      </c>
      <c r="E13" s="6" t="s">
        <v>38</v>
      </c>
      <c r="F13" s="6" t="s">
        <v>351</v>
      </c>
    </row>
    <row r="15" customFormat="false" ht="15" hidden="false" customHeight="false" outlineLevel="0" collapsed="false">
      <c r="A15" s="2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8" min="2" style="0" width="11"/>
  </cols>
  <sheetData>
    <row r="1" customFormat="false" ht="16.15" hidden="false" customHeight="false" outlineLevel="0" collapsed="false">
      <c r="A1" s="1" t="s">
        <v>353</v>
      </c>
    </row>
    <row r="3" customFormat="false" ht="26.85" hidden="false" customHeight="false" outlineLevel="0" collapsed="false">
      <c r="A3" s="3" t="s">
        <v>354</v>
      </c>
      <c r="B3" s="3" t="s">
        <v>355</v>
      </c>
      <c r="C3" s="3" t="s">
        <v>356</v>
      </c>
      <c r="D3" s="3" t="s">
        <v>357</v>
      </c>
      <c r="E3" s="3" t="s">
        <v>358</v>
      </c>
      <c r="F3" s="3" t="s">
        <v>359</v>
      </c>
      <c r="G3" s="3" t="s">
        <v>360</v>
      </c>
      <c r="H3" s="3" t="s">
        <v>361</v>
      </c>
    </row>
    <row r="4" customFormat="false" ht="15" hidden="false" customHeight="false" outlineLevel="0" collapsed="false">
      <c r="A4" s="6" t="s">
        <v>362</v>
      </c>
      <c r="B4" s="5" t="n">
        <v>0.2</v>
      </c>
      <c r="C4" s="5"/>
      <c r="D4" s="5"/>
      <c r="E4" s="5"/>
      <c r="F4" s="6" t="n">
        <f aca="false">B4*C4</f>
        <v>0</v>
      </c>
      <c r="G4" s="6" t="n">
        <f aca="false">B4*D4</f>
        <v>0</v>
      </c>
      <c r="H4" s="6" t="n">
        <f aca="false">B4*E4</f>
        <v>0</v>
      </c>
    </row>
    <row r="5" customFormat="false" ht="15" hidden="false" customHeight="false" outlineLevel="0" collapsed="false">
      <c r="A5" s="6" t="s">
        <v>363</v>
      </c>
      <c r="B5" s="5" t="n">
        <v>0.2</v>
      </c>
      <c r="C5" s="5"/>
      <c r="D5" s="5"/>
      <c r="E5" s="5"/>
      <c r="F5" s="6" t="n">
        <f aca="false">B5*C5</f>
        <v>0</v>
      </c>
      <c r="G5" s="6" t="n">
        <f aca="false">B5*D5</f>
        <v>0</v>
      </c>
      <c r="H5" s="6" t="n">
        <f aca="false">B5*E5</f>
        <v>0</v>
      </c>
    </row>
    <row r="6" customFormat="false" ht="15" hidden="false" customHeight="false" outlineLevel="0" collapsed="false">
      <c r="A6" s="6" t="s">
        <v>364</v>
      </c>
      <c r="B6" s="5" t="n">
        <v>0.15</v>
      </c>
      <c r="C6" s="5"/>
      <c r="D6" s="5"/>
      <c r="E6" s="5"/>
      <c r="F6" s="6" t="n">
        <f aca="false">B6*C6</f>
        <v>0</v>
      </c>
      <c r="G6" s="6" t="n">
        <f aca="false">B6*D6</f>
        <v>0</v>
      </c>
      <c r="H6" s="6" t="n">
        <f aca="false">B6*E6</f>
        <v>0</v>
      </c>
    </row>
    <row r="7" customFormat="false" ht="15" hidden="false" customHeight="false" outlineLevel="0" collapsed="false">
      <c r="A7" s="6" t="s">
        <v>365</v>
      </c>
      <c r="B7" s="5" t="n">
        <v>0.15</v>
      </c>
      <c r="C7" s="5"/>
      <c r="D7" s="5"/>
      <c r="E7" s="5"/>
      <c r="F7" s="6" t="n">
        <f aca="false">B7*C7</f>
        <v>0</v>
      </c>
      <c r="G7" s="6" t="n">
        <f aca="false">B7*D7</f>
        <v>0</v>
      </c>
      <c r="H7" s="6" t="n">
        <f aca="false">B7*E7</f>
        <v>0</v>
      </c>
    </row>
    <row r="8" customFormat="false" ht="15" hidden="false" customHeight="false" outlineLevel="0" collapsed="false">
      <c r="A8" s="6" t="s">
        <v>366</v>
      </c>
      <c r="B8" s="5" t="n">
        <v>0.1</v>
      </c>
      <c r="C8" s="5"/>
      <c r="D8" s="5"/>
      <c r="E8" s="5"/>
      <c r="F8" s="6" t="n">
        <f aca="false">B8*C8</f>
        <v>0</v>
      </c>
      <c r="G8" s="6" t="n">
        <f aca="false">B8*D8</f>
        <v>0</v>
      </c>
      <c r="H8" s="6" t="n">
        <f aca="false">B8*E8</f>
        <v>0</v>
      </c>
    </row>
    <row r="9" customFormat="false" ht="15" hidden="false" customHeight="false" outlineLevel="0" collapsed="false">
      <c r="A9" s="6" t="s">
        <v>367</v>
      </c>
      <c r="B9" s="5" t="n">
        <v>0.1</v>
      </c>
      <c r="C9" s="5"/>
      <c r="D9" s="5"/>
      <c r="E9" s="5"/>
      <c r="F9" s="6" t="n">
        <f aca="false">B9*C9</f>
        <v>0</v>
      </c>
      <c r="G9" s="6" t="n">
        <f aca="false">B9*D9</f>
        <v>0</v>
      </c>
      <c r="H9" s="6" t="n">
        <f aca="false">B9*E9</f>
        <v>0</v>
      </c>
    </row>
    <row r="10" customFormat="false" ht="15" hidden="false" customHeight="false" outlineLevel="0" collapsed="false">
      <c r="A10" s="6" t="s">
        <v>368</v>
      </c>
      <c r="B10" s="5" t="n">
        <v>0.1</v>
      </c>
      <c r="C10" s="5"/>
      <c r="D10" s="5"/>
      <c r="E10" s="5"/>
      <c r="F10" s="6" t="n">
        <f aca="false">B10*C10</f>
        <v>0</v>
      </c>
      <c r="G10" s="6" t="n">
        <f aca="false">B10*D10</f>
        <v>0</v>
      </c>
      <c r="H10" s="6" t="n">
        <f aca="false">B10*E10</f>
        <v>0</v>
      </c>
    </row>
    <row r="11" customFormat="false" ht="15" hidden="false" customHeight="false" outlineLevel="0" collapsed="false">
      <c r="A11" s="18" t="s">
        <v>369</v>
      </c>
      <c r="B11" s="18" t="n">
        <f aca="false">SUM(B4:B10)</f>
        <v>1</v>
      </c>
      <c r="C11" s="19"/>
      <c r="D11" s="19"/>
      <c r="E11" s="19"/>
      <c r="F11" s="18" t="n">
        <f aca="false">SUM(F4:F10)</f>
        <v>0</v>
      </c>
      <c r="G11" s="18" t="n">
        <f aca="false">SUM(G4:G10)</f>
        <v>0</v>
      </c>
      <c r="H11" s="18" t="n">
        <f aca="false">SUM(H4:H10)</f>
        <v>0</v>
      </c>
    </row>
    <row r="13" customFormat="false" ht="15" hidden="false" customHeight="false" outlineLevel="0" collapsed="false">
      <c r="A13" s="2" t="s">
        <v>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2026-06-08T12:44:43Z</dcterms:created>
  <dc:creator>openpyxl</dc:creator>
  <dc:description/>
  <dc:language>en-US</dc:language>
  <cp:lastModifiedBy/>
  <dcterms:modified xsi:type="dcterms:W3CDTF">2026-06-08T12:44:43Z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