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c73f9ad2dbf6c5f/INGB 417 EXAM ASSIGNMENT/05_Working/5.1_Capacity_Model/"/>
    </mc:Choice>
  </mc:AlternateContent>
  <xr:revisionPtr revIDLastSave="88" documentId="13_ncr:1_{533E76B1-A49F-43DF-BAEE-8B6B7AFD13BC}" xr6:coauthVersionLast="47" xr6:coauthVersionMax="47" xr10:uidLastSave="{D3AC88CA-F785-4994-A153-BACA73751B4E}"/>
  <bookViews>
    <workbookView xWindow="-108" yWindow="-108" windowWidth="23256" windowHeight="12456" tabRatio="500" firstSheet="12" activeTab="15" xr2:uid="{00000000-000D-0000-FFFF-FFFF00000000}"/>
  </bookViews>
  <sheets>
    <sheet name="Inputs" sheetId="1" r:id="rId1"/>
    <sheet name="Demand" sheetId="2" r:id="rId2"/>
    <sheet name="Capacity" sheetId="3" r:id="rId3"/>
    <sheet name="Equipment-dep" sheetId="4" r:id="rId4"/>
    <sheet name="RawMaterials" sheetId="5" r:id="rId5"/>
    <sheet name="Inventory_Pack" sheetId="6" r:id="rId6"/>
    <sheet name="Storage_3D" sheetId="7" r:id="rId7"/>
    <sheet name="Personnel" sheetId="8" r:id="rId8"/>
    <sheet name="Parking" sheetId="9" r:id="rId9"/>
    <sheet name="Space_Summary" sheetId="10" r:id="rId10"/>
    <sheet name="Machinery" sheetId="11" r:id="rId11"/>
    <sheet name="Evaluation" sheetId="12" r:id="rId12"/>
    <sheet name="Report Map - Ch6" sheetId="13" r:id="rId13"/>
    <sheet name="Bottleneck" sheetId="14" r:id="rId14"/>
    <sheet name="BusinessCase" sheetId="15" r:id="rId15"/>
    <sheet name="Traceability" sheetId="16" r:id="rId1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1" i="15" l="1"/>
  <c r="D30" i="15"/>
  <c r="D28" i="15"/>
  <c r="B27" i="15"/>
  <c r="D27" i="15" s="1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C7" i="1"/>
  <c r="C15" i="2" s="1"/>
  <c r="B11" i="12"/>
  <c r="H10" i="12"/>
  <c r="G10" i="12"/>
  <c r="F10" i="12"/>
  <c r="H9" i="12"/>
  <c r="G9" i="12"/>
  <c r="F9" i="12"/>
  <c r="H8" i="12"/>
  <c r="G8" i="12"/>
  <c r="F8" i="12"/>
  <c r="H7" i="12"/>
  <c r="G7" i="12"/>
  <c r="F7" i="12"/>
  <c r="H6" i="12"/>
  <c r="G6" i="12"/>
  <c r="F6" i="12"/>
  <c r="H5" i="12"/>
  <c r="G5" i="12"/>
  <c r="F5" i="12"/>
  <c r="H4" i="12"/>
  <c r="G4" i="12"/>
  <c r="F4" i="12"/>
  <c r="B9" i="10"/>
  <c r="B6" i="10"/>
  <c r="D14" i="16" s="1"/>
  <c r="B5" i="10"/>
  <c r="D8" i="16" s="1"/>
  <c r="B8" i="9"/>
  <c r="B9" i="9" s="1"/>
  <c r="B5" i="9"/>
  <c r="D8" i="7"/>
  <c r="B10" i="6"/>
  <c r="B9" i="6"/>
  <c r="B14" i="5"/>
  <c r="B13" i="5"/>
  <c r="B12" i="5"/>
  <c r="B4" i="5"/>
  <c r="B14" i="4"/>
  <c r="B6" i="4"/>
  <c r="J17" i="3"/>
  <c r="F17" i="3"/>
  <c r="F16" i="3"/>
  <c r="F15" i="3"/>
  <c r="F14" i="3"/>
  <c r="F13" i="3"/>
  <c r="F11" i="3"/>
  <c r="F10" i="3"/>
  <c r="F9" i="3"/>
  <c r="F7" i="3"/>
  <c r="F6" i="3"/>
  <c r="F5" i="3"/>
  <c r="H4" i="3"/>
  <c r="B5" i="2"/>
  <c r="B4" i="2"/>
  <c r="C38" i="1"/>
  <c r="C35" i="1"/>
  <c r="B14" i="6" s="1"/>
  <c r="C21" i="1"/>
  <c r="B7" i="5" s="1"/>
  <c r="C15" i="1"/>
  <c r="F12" i="3" s="1"/>
  <c r="C10" i="1"/>
  <c r="B7" i="2" s="1"/>
  <c r="B16" i="5" l="1"/>
  <c r="B15" i="5"/>
  <c r="C13" i="1"/>
  <c r="B9" i="2" s="1"/>
  <c r="F5" i="13" s="1"/>
  <c r="F9" i="13"/>
  <c r="B7" i="15"/>
  <c r="D7" i="15" s="1"/>
  <c r="B13" i="6"/>
  <c r="D6" i="16"/>
  <c r="D13" i="16"/>
  <c r="H11" i="12"/>
  <c r="G11" i="12"/>
  <c r="F11" i="12"/>
  <c r="D15" i="16" s="1"/>
  <c r="B4" i="6"/>
  <c r="D9" i="16" s="1"/>
  <c r="D15" i="2"/>
  <c r="C12" i="1"/>
  <c r="B6" i="2"/>
  <c r="C16" i="2"/>
  <c r="D16" i="2" s="1"/>
  <c r="E15" i="3"/>
  <c r="G15" i="3" s="1"/>
  <c r="I15" i="3" s="1"/>
  <c r="K15" i="3" s="1"/>
  <c r="B5" i="6"/>
  <c r="C14" i="2"/>
  <c r="F4" i="3"/>
  <c r="E8" i="3"/>
  <c r="E16" i="3"/>
  <c r="G16" i="3" s="1"/>
  <c r="I16" i="3" s="1"/>
  <c r="K16" i="3" s="1"/>
  <c r="B17" i="5"/>
  <c r="B19" i="5" s="1"/>
  <c r="B6" i="6"/>
  <c r="B7" i="7" s="1"/>
  <c r="C7" i="7" s="1"/>
  <c r="D7" i="7" s="1"/>
  <c r="B8" i="2"/>
  <c r="C17" i="2"/>
  <c r="D17" i="2" s="1"/>
  <c r="F8" i="3"/>
  <c r="E9" i="3"/>
  <c r="G9" i="3" s="1"/>
  <c r="I9" i="3" s="1"/>
  <c r="K9" i="3" s="1"/>
  <c r="E17" i="3"/>
  <c r="G17" i="3" s="1"/>
  <c r="I17" i="3" s="1"/>
  <c r="K17" i="3" s="1"/>
  <c r="B18" i="5"/>
  <c r="B20" i="5" s="1"/>
  <c r="E10" i="3"/>
  <c r="G10" i="3" s="1"/>
  <c r="I10" i="3" s="1"/>
  <c r="K10" i="3" s="1"/>
  <c r="B13" i="4"/>
  <c r="C13" i="2"/>
  <c r="E4" i="3"/>
  <c r="E11" i="3"/>
  <c r="G11" i="3" s="1"/>
  <c r="I11" i="3" s="1"/>
  <c r="K11" i="3" s="1"/>
  <c r="B11" i="6"/>
  <c r="E12" i="3"/>
  <c r="G12" i="3" s="1"/>
  <c r="I12" i="3" s="1"/>
  <c r="K12" i="3" s="1"/>
  <c r="B19" i="4"/>
  <c r="B12" i="6"/>
  <c r="E13" i="3"/>
  <c r="G13" i="3" s="1"/>
  <c r="I13" i="3" s="1"/>
  <c r="K13" i="3" s="1"/>
  <c r="B5" i="4"/>
  <c r="B7" i="4" s="1"/>
  <c r="E14" i="3"/>
  <c r="G14" i="3" s="1"/>
  <c r="I14" i="3" s="1"/>
  <c r="K14" i="3" s="1"/>
  <c r="B5" i="5"/>
  <c r="B6" i="5" s="1"/>
  <c r="B8" i="5" s="1"/>
  <c r="B21" i="5" l="1"/>
  <c r="D5" i="16"/>
  <c r="F6" i="13"/>
  <c r="B9" i="5"/>
  <c r="B4" i="7" s="1"/>
  <c r="F7" i="13"/>
  <c r="B6" i="7"/>
  <c r="C6" i="7" s="1"/>
  <c r="D6" i="7" s="1"/>
  <c r="B8" i="10" s="1"/>
  <c r="D10" i="16"/>
  <c r="C4" i="7"/>
  <c r="D4" i="7" s="1"/>
  <c r="G8" i="3"/>
  <c r="I8" i="3" s="1"/>
  <c r="K8" i="3" s="1"/>
  <c r="L9" i="3"/>
  <c r="M9" i="3" s="1"/>
  <c r="L16" i="3"/>
  <c r="M16" i="3" s="1"/>
  <c r="L15" i="3"/>
  <c r="M15" i="3" s="1"/>
  <c r="L14" i="3"/>
  <c r="M14" i="3" s="1"/>
  <c r="L6" i="3"/>
  <c r="L13" i="3"/>
  <c r="M13" i="3" s="1"/>
  <c r="L5" i="3"/>
  <c r="L12" i="3"/>
  <c r="M12" i="3" s="1"/>
  <c r="L4" i="3"/>
  <c r="B8" i="4"/>
  <c r="B9" i="4" s="1"/>
  <c r="L11" i="3"/>
  <c r="M11" i="3" s="1"/>
  <c r="L7" i="3"/>
  <c r="L17" i="3"/>
  <c r="M17" i="3" s="1"/>
  <c r="L10" i="3"/>
  <c r="M10" i="3" s="1"/>
  <c r="L8" i="3"/>
  <c r="G4" i="3"/>
  <c r="O10" i="3" l="1"/>
  <c r="B11" i="14"/>
  <c r="B19" i="15"/>
  <c r="D19" i="15" s="1"/>
  <c r="O12" i="3"/>
  <c r="B13" i="14"/>
  <c r="B21" i="15"/>
  <c r="D21" i="15" s="1"/>
  <c r="O16" i="3"/>
  <c r="B17" i="14"/>
  <c r="B25" i="15"/>
  <c r="D25" i="15" s="1"/>
  <c r="N16" i="3"/>
  <c r="C17" i="14" s="1"/>
  <c r="O13" i="3"/>
  <c r="B22" i="15"/>
  <c r="D22" i="15" s="1"/>
  <c r="B14" i="14"/>
  <c r="B15" i="14"/>
  <c r="B23" i="15"/>
  <c r="D23" i="15" s="1"/>
  <c r="B26" i="15"/>
  <c r="D26" i="15" s="1"/>
  <c r="B18" i="14"/>
  <c r="B20" i="15"/>
  <c r="D20" i="15" s="1"/>
  <c r="B12" i="14"/>
  <c r="B24" i="15"/>
  <c r="D24" i="15" s="1"/>
  <c r="B16" i="14"/>
  <c r="I4" i="3"/>
  <c r="K4" i="3" s="1"/>
  <c r="M4" i="3" s="1"/>
  <c r="D7" i="16"/>
  <c r="E7" i="3"/>
  <c r="G7" i="3" s="1"/>
  <c r="I7" i="3" s="1"/>
  <c r="K7" i="3" s="1"/>
  <c r="M7" i="3" s="1"/>
  <c r="O7" i="3" s="1"/>
  <c r="E6" i="3"/>
  <c r="G6" i="3" s="1"/>
  <c r="I6" i="3" s="1"/>
  <c r="K6" i="3" s="1"/>
  <c r="M6" i="3" s="1"/>
  <c r="E5" i="3"/>
  <c r="G5" i="3" s="1"/>
  <c r="I5" i="3" s="1"/>
  <c r="K5" i="3" s="1"/>
  <c r="F13" i="13"/>
  <c r="B29" i="15"/>
  <c r="D29" i="15" s="1"/>
  <c r="B18" i="15"/>
  <c r="D18" i="15" s="1"/>
  <c r="B10" i="14"/>
  <c r="B22" i="5"/>
  <c r="F8" i="13"/>
  <c r="O17" i="3"/>
  <c r="N17" i="3"/>
  <c r="C18" i="14" s="1"/>
  <c r="O15" i="3"/>
  <c r="N15" i="3"/>
  <c r="C16" i="14" s="1"/>
  <c r="O14" i="3"/>
  <c r="N14" i="3"/>
  <c r="C15" i="14" s="1"/>
  <c r="O11" i="3"/>
  <c r="N11" i="3"/>
  <c r="C12" i="14" s="1"/>
  <c r="O9" i="3"/>
  <c r="N9" i="3"/>
  <c r="C10" i="14" s="1"/>
  <c r="N13" i="3"/>
  <c r="C14" i="14" s="1"/>
  <c r="N12" i="3"/>
  <c r="C13" i="14" s="1"/>
  <c r="M8" i="3"/>
  <c r="N10" i="3"/>
  <c r="C11" i="14" s="1"/>
  <c r="N6" i="3"/>
  <c r="C7" i="14" s="1"/>
  <c r="N7" i="3" l="1"/>
  <c r="C8" i="14" s="1"/>
  <c r="B5" i="14"/>
  <c r="B13" i="15"/>
  <c r="D13" i="15" s="1"/>
  <c r="N5" i="3"/>
  <c r="D10" i="14"/>
  <c r="E10" i="14"/>
  <c r="F10" i="14" s="1"/>
  <c r="E16" i="14"/>
  <c r="F16" i="14" s="1"/>
  <c r="D16" i="14"/>
  <c r="E7" i="14"/>
  <c r="F7" i="14" s="1"/>
  <c r="D7" i="14"/>
  <c r="M5" i="3"/>
  <c r="E12" i="14"/>
  <c r="F12" i="14" s="1"/>
  <c r="D12" i="14"/>
  <c r="E8" i="14"/>
  <c r="F8" i="14" s="1"/>
  <c r="D8" i="14"/>
  <c r="B16" i="15"/>
  <c r="D16" i="15" s="1"/>
  <c r="B8" i="14"/>
  <c r="O8" i="3"/>
  <c r="B9" i="14"/>
  <c r="B17" i="15"/>
  <c r="D17" i="15" s="1"/>
  <c r="E15" i="14"/>
  <c r="F15" i="14" s="1"/>
  <c r="D15" i="14"/>
  <c r="E11" i="14"/>
  <c r="F11" i="14" s="1"/>
  <c r="D11" i="14"/>
  <c r="D18" i="14"/>
  <c r="E18" i="14"/>
  <c r="F18" i="14" s="1"/>
  <c r="O6" i="3"/>
  <c r="B7" i="14"/>
  <c r="B15" i="15"/>
  <c r="D15" i="15" s="1"/>
  <c r="E17" i="14"/>
  <c r="F17" i="14" s="1"/>
  <c r="D17" i="14"/>
  <c r="E13" i="14"/>
  <c r="F13" i="14" s="1"/>
  <c r="D13" i="14"/>
  <c r="D14" i="14"/>
  <c r="E14" i="14"/>
  <c r="F14" i="14" s="1"/>
  <c r="B5" i="7"/>
  <c r="C5" i="7"/>
  <c r="D5" i="7" s="1"/>
  <c r="N8" i="3"/>
  <c r="C9" i="14" s="1"/>
  <c r="M18" i="3"/>
  <c r="O4" i="3"/>
  <c r="N4" i="3"/>
  <c r="C5" i="14" s="1"/>
  <c r="E5" i="14" l="1"/>
  <c r="F5" i="14" s="1"/>
  <c r="D5" i="14"/>
  <c r="E9" i="14"/>
  <c r="F9" i="14" s="1"/>
  <c r="D9" i="14"/>
  <c r="N19" i="3"/>
  <c r="F12" i="13" s="1"/>
  <c r="C6" i="14"/>
  <c r="B4" i="10"/>
  <c r="F10" i="13"/>
  <c r="D9" i="7"/>
  <c r="B7" i="10"/>
  <c r="B14" i="15"/>
  <c r="D14" i="15" s="1"/>
  <c r="B6" i="14"/>
  <c r="O5" i="3"/>
  <c r="O18" i="3" s="1"/>
  <c r="D32" i="15"/>
  <c r="B17" i="8" l="1"/>
  <c r="F11" i="13"/>
  <c r="D6" i="14"/>
  <c r="E6" i="14"/>
  <c r="F6" i="14" s="1"/>
  <c r="B18" i="8" l="1"/>
  <c r="D12" i="16"/>
  <c r="D17" i="16" l="1"/>
  <c r="B10" i="10"/>
  <c r="B3" i="9"/>
  <c r="B4" i="9" s="1"/>
  <c r="B6" i="9" s="1"/>
  <c r="B7" i="9" s="1"/>
  <c r="B10" i="9" s="1"/>
  <c r="B11" i="10"/>
  <c r="B6" i="15" s="1"/>
  <c r="D6" i="15" s="1"/>
  <c r="B18" i="10" l="1"/>
  <c r="B8" i="15"/>
  <c r="D8" i="15" s="1"/>
  <c r="B5" i="15"/>
  <c r="D5" i="15" s="1"/>
  <c r="B12" i="10"/>
  <c r="B13" i="10" s="1"/>
  <c r="B14" i="10" s="1"/>
  <c r="B4" i="15" l="1"/>
  <c r="D4" i="15" s="1"/>
  <c r="D9" i="15" s="1"/>
  <c r="D34" i="15" s="1"/>
  <c r="B15" i="10"/>
  <c r="D11" i="16" s="1"/>
  <c r="B16" i="10" l="1"/>
  <c r="D16" i="16" s="1"/>
  <c r="B19" i="10" l="1"/>
</calcChain>
</file>

<file path=xl/sharedStrings.xml><?xml version="1.0" encoding="utf-8"?>
<sst xmlns="http://schemas.openxmlformats.org/spreadsheetml/2006/main" count="875" uniqueCount="633">
  <si>
    <t>DigMore Folding Mini Shovel - Facility Design Calculations (single source of truth)</t>
  </si>
  <si>
    <t>Parameter</t>
  </si>
  <si>
    <t>Value</t>
  </si>
  <si>
    <t>Unit</t>
  </si>
  <si>
    <t>Note / source</t>
  </si>
  <si>
    <t>Annual demand</t>
  </si>
  <si>
    <t>shovels/yr</t>
  </si>
  <si>
    <t>2026 brief</t>
  </si>
  <si>
    <t>Workdays per year</t>
  </si>
  <si>
    <t>days</t>
  </si>
  <si>
    <t>Daily demand (good)</t>
  </si>
  <si>
    <t>shovels/day</t>
  </si>
  <si>
    <t>rounded up</t>
  </si>
  <si>
    <t>Shift length</t>
  </si>
  <si>
    <t>min</t>
  </si>
  <si>
    <t>9 h (brief)</t>
  </si>
  <si>
    <t>Breaks</t>
  </si>
  <si>
    <t>30+15+15 (brief)</t>
  </si>
  <si>
    <t>Effective time</t>
  </si>
  <si>
    <t>min/day</t>
  </si>
  <si>
    <t>shift - breaks</t>
  </si>
  <si>
    <t>Availability (1.0 = brief basis)</t>
  </si>
  <si>
    <t>fraction</t>
  </si>
  <si>
    <t>sized on 480 effective min; lower for a setup/breakdown sensitivity</t>
  </si>
  <si>
    <t>Available time / machine</t>
  </si>
  <si>
    <t>effective time x availability</t>
  </si>
  <si>
    <t>Takt time</t>
  </si>
  <si>
    <t>s/shovel</t>
  </si>
  <si>
    <t>effective/daily demand</t>
  </si>
  <si>
    <t>Scrap rate (cut &amp; stamp)</t>
  </si>
  <si>
    <t>brief (those two steps)</t>
  </si>
  <si>
    <t>Yield</t>
  </si>
  <si>
    <t>1 - scrap</t>
  </si>
  <si>
    <t>Pipes per cut</t>
  </si>
  <si>
    <t>pipes</t>
  </si>
  <si>
    <t>bundle cutting raises this</t>
  </si>
  <si>
    <t>Operators per machine</t>
  </si>
  <si>
    <t>-</t>
  </si>
  <si>
    <t>baseline 1:1</t>
  </si>
  <si>
    <t>Packaging cycle (assumed)</t>
  </si>
  <si>
    <t>brief: workstation-dependent</t>
  </si>
  <si>
    <t>Tube stock length</t>
  </si>
  <si>
    <t>m</t>
  </si>
  <si>
    <t>to verify with supplier</t>
  </si>
  <si>
    <t>Handle section length</t>
  </si>
  <si>
    <t>brief (150 mm)</t>
  </si>
  <si>
    <t>Sections per tube</t>
  </si>
  <si>
    <t>sections</t>
  </si>
  <si>
    <t>kerf ignored</t>
  </si>
  <si>
    <t>Tube sections per shovel</t>
  </si>
  <si>
    <t>back + middle</t>
  </si>
  <si>
    <t>Sheet length</t>
  </si>
  <si>
    <t>standard sheet (assumption)</t>
  </si>
  <si>
    <t>Sheet width</t>
  </si>
  <si>
    <t>Nesting efficiency</t>
  </si>
  <si>
    <t>assumption</t>
  </si>
  <si>
    <t>Head blank length</t>
  </si>
  <si>
    <t>finished 150 + allowance (assumption)</t>
  </si>
  <si>
    <t>Head blank width</t>
  </si>
  <si>
    <t>finished 120 + allowance (assumption)</t>
  </si>
  <si>
    <t>Hinge blank length</t>
  </si>
  <si>
    <t>Hinge blank width</t>
  </si>
  <si>
    <t>Raw material cover</t>
  </si>
  <si>
    <t>2 weeks (brief)</t>
  </si>
  <si>
    <t>Finished goods cover</t>
  </si>
  <si>
    <t>4 weeks (brief)</t>
  </si>
  <si>
    <t>WIP buffer</t>
  </si>
  <si>
    <t>about one shift (assumption)</t>
  </si>
  <si>
    <t>Units per box</t>
  </si>
  <si>
    <t>shovels</t>
  </si>
  <si>
    <t>Boxes per pallet</t>
  </si>
  <si>
    <t>boxes</t>
  </si>
  <si>
    <t>Units per pallet</t>
  </si>
  <si>
    <t>box x pallet</t>
  </si>
  <si>
    <t>Pallet length</t>
  </si>
  <si>
    <t>standard (assumption)</t>
  </si>
  <si>
    <t>Pallet width</t>
  </si>
  <si>
    <t>Pallet footprint</t>
  </si>
  <si>
    <t>m2</t>
  </si>
  <si>
    <t>Storage levels (racking)</t>
  </si>
  <si>
    <t>Tubes per cantilever rack</t>
  </si>
  <si>
    <t>tubes</t>
  </si>
  <si>
    <t>Cantilever rack footprint</t>
  </si>
  <si>
    <t>6 m x 1 m (assumption)</t>
  </si>
  <si>
    <t>Sheets per stack</t>
  </si>
  <si>
    <t>sheets</t>
  </si>
  <si>
    <t>Storage aisle factor</t>
  </si>
  <si>
    <t>floor area x this (assumption)</t>
  </si>
  <si>
    <t>Heat-treat cycle</t>
  </si>
  <si>
    <t>h</t>
  </si>
  <si>
    <t>T6 ageing 5-8 h (supplier)</t>
  </si>
  <si>
    <t>Powder line rate</t>
  </si>
  <si>
    <t>parts/h</t>
  </si>
  <si>
    <t>typical conveyor (supplier)</t>
  </si>
  <si>
    <t>Coated items per shovel</t>
  </si>
  <si>
    <t>items</t>
  </si>
  <si>
    <t>2 handles + 1 subassembly</t>
  </si>
  <si>
    <t>Area per workstation</t>
  </si>
  <si>
    <t>incl operator space (assumption)</t>
  </si>
  <si>
    <t>Circulation / aisle allowance</t>
  </si>
  <si>
    <t>Future expansion</t>
  </si>
  <si>
    <t>brief (~10%)</t>
  </si>
  <si>
    <t>Powder-coat area (enclosed)</t>
  </si>
  <si>
    <t>supplier-based estimate</t>
  </si>
  <si>
    <t>Heat-treat + sandblast area</t>
  </si>
  <si>
    <t>Scrap / waste store</t>
  </si>
  <si>
    <t>Receiving + dispatch area</t>
  </si>
  <si>
    <t>docks + staging (assumption)</t>
  </si>
  <si>
    <t>Office area per office worker</t>
  </si>
  <si>
    <t>Amenity area per employee</t>
  </si>
  <si>
    <t>lockers/restrooms/cafeteria (assumption)</t>
  </si>
  <si>
    <t>Parking bays per employee</t>
  </si>
  <si>
    <t>brief: all personnel</t>
  </si>
  <si>
    <t>Visitor + collection bays</t>
  </si>
  <si>
    <t>bays</t>
  </si>
  <si>
    <t>Area per parking bay</t>
  </si>
  <si>
    <t>bay + aisle (assumption)</t>
  </si>
  <si>
    <t>Truck fleet bays</t>
  </si>
  <si>
    <t>own fleet (assumption)</t>
  </si>
  <si>
    <t>Area per truck bay</t>
  </si>
  <si>
    <t>incl manoeuvre (assumption)</t>
  </si>
  <si>
    <t>Demand and production requirement</t>
  </si>
  <si>
    <t>Measure</t>
  </si>
  <si>
    <t>Basis</t>
  </si>
  <si>
    <t>brief</t>
  </si>
  <si>
    <t>Workdays</t>
  </si>
  <si>
    <t>annual/days, round up</t>
  </si>
  <si>
    <t>Hourly demand</t>
  </si>
  <si>
    <t>shovels/h</t>
  </si>
  <si>
    <t>daily/effective hours</t>
  </si>
  <si>
    <t>effective/daily</t>
  </si>
  <si>
    <t>Part-level daily requirement</t>
  </si>
  <si>
    <t>Part</t>
  </si>
  <si>
    <t>Per shovel</t>
  </si>
  <si>
    <t>Good/day</t>
  </si>
  <si>
    <t>Gross/day (if scrap step)</t>
  </si>
  <si>
    <t>Back handle section (tube)</t>
  </si>
  <si>
    <t>Middle handle section (tube)</t>
  </si>
  <si>
    <t>Handle sections cut (tube)</t>
  </si>
  <si>
    <t>Shovel head (sheet)</t>
  </si>
  <si>
    <t>Hinge connector (sheet)</t>
  </si>
  <si>
    <t>Per-process capacity: machines and operators</t>
  </si>
  <si>
    <t>Process</t>
  </si>
  <si>
    <t>Units/shovel</t>
  </si>
  <si>
    <t>Scrap?</t>
  </si>
  <si>
    <t>Daily good</t>
  </si>
  <si>
    <t>Scrap factor</t>
  </si>
  <si>
    <t>Daily gross</t>
  </si>
  <si>
    <t>Pieces/op</t>
  </si>
  <si>
    <t>Ops/day</t>
  </si>
  <si>
    <t>Cycle (s)</t>
  </si>
  <si>
    <t>Time (min/day)</t>
  </si>
  <si>
    <t>Prod min/mach</t>
  </si>
  <si>
    <t>Machines</t>
  </si>
  <si>
    <t>Util.</t>
  </si>
  <si>
    <t>Operators</t>
  </si>
  <si>
    <t>Note</t>
  </si>
  <si>
    <t>Cut handle</t>
  </si>
  <si>
    <t>per cut</t>
  </si>
  <si>
    <t>Yes</t>
  </si>
  <si>
    <t>5% scrap; pipes/cut from equipment</t>
  </si>
  <si>
    <t>Internal thread (middle)</t>
  </si>
  <si>
    <t>per pipe</t>
  </si>
  <si>
    <t>No</t>
  </si>
  <si>
    <t>1</t>
  </si>
  <si>
    <t>Stamp / narrow end (grip)</t>
  </si>
  <si>
    <t>Knurl + external thread (grip)</t>
  </si>
  <si>
    <t>Stamp shovel head</t>
  </si>
  <si>
    <t>per part</t>
  </si>
  <si>
    <t>5% scrap</t>
  </si>
  <si>
    <t>Shape / bend head</t>
  </si>
  <si>
    <t>per head</t>
  </si>
  <si>
    <t>Sharpen blade</t>
  </si>
  <si>
    <t>per shovel</t>
  </si>
  <si>
    <t>main bottleneck</t>
  </si>
  <si>
    <t>Serrate edge</t>
  </si>
  <si>
    <t>Stamp hinge connector</t>
  </si>
  <si>
    <t>Bend hinge connector</t>
  </si>
  <si>
    <t>Rivet hinge to head</t>
  </si>
  <si>
    <t>Hand polish / deburr</t>
  </si>
  <si>
    <t>Final assembly</t>
  </si>
  <si>
    <t>Packaging (hand + check)</t>
  </si>
  <si>
    <t>cycle is an assumption</t>
  </si>
  <si>
    <t>TOTAL (line processes)</t>
  </si>
  <si>
    <t>Equipment-dependent processes (no brief cycle time)</t>
  </si>
  <si>
    <t>Powder coating (conveyorised, enclosed)</t>
  </si>
  <si>
    <t>Coated items per day</t>
  </si>
  <si>
    <t>items/day</t>
  </si>
  <si>
    <t>Assumed line rate</t>
  </si>
  <si>
    <t>Hours needed</t>
  </si>
  <si>
    <t>h/day</t>
  </si>
  <si>
    <t>Productive hours/shift</t>
  </si>
  <si>
    <t>Powder lines required</t>
  </si>
  <si>
    <t>lines</t>
  </si>
  <si>
    <t>At 600 parts/h the line exceeds one shift; about 680 parts/h or a second line is needed.</t>
  </si>
  <si>
    <t>Heat treatment (T6 ageing, batch oven)</t>
  </si>
  <si>
    <t>Subassemblies per day</t>
  </si>
  <si>
    <t>Assumed cycle</t>
  </si>
  <si>
    <t>h/batch</t>
  </si>
  <si>
    <t>Ageing ovens (assumed)</t>
  </si>
  <si>
    <t>ovens</t>
  </si>
  <si>
    <t>Oven sized to ~1 day of subassemblies; runs across/after the shift. Supplier-based; verify.</t>
  </si>
  <si>
    <t>Sandblasting (enclosed booth)</t>
  </si>
  <si>
    <t>Heads per day</t>
  </si>
  <si>
    <t>Throughput and booth count: supplier-based estimate required.</t>
  </si>
  <si>
    <t>Raw material requirements</t>
  </si>
  <si>
    <t>Aluminium round tube</t>
  </si>
  <si>
    <t>Sections per shovel</t>
  </si>
  <si>
    <t>Good sections/day</t>
  </si>
  <si>
    <t>sections/day</t>
  </si>
  <si>
    <t>Gross sections/day (scrap)</t>
  </si>
  <si>
    <t>Sections per 6 m tube</t>
  </si>
  <si>
    <t>Tubes per day</t>
  </si>
  <si>
    <t>tubes/day</t>
  </si>
  <si>
    <t>Tubes for 2 weeks</t>
  </si>
  <si>
    <t>Aluminium sheet</t>
  </si>
  <si>
    <t>Sheet area</t>
  </si>
  <si>
    <t>Head blank area</t>
  </si>
  <si>
    <t>Hinge blank area</t>
  </si>
  <si>
    <t>Heads per sheet (nested)</t>
  </si>
  <si>
    <t>parts</t>
  </si>
  <si>
    <t>Hinges per sheet (nested)</t>
  </si>
  <si>
    <t>Gross heads/day</t>
  </si>
  <si>
    <t>parts/day</t>
  </si>
  <si>
    <t>Gross hinges/day</t>
  </si>
  <si>
    <t>Sheets/day (heads)</t>
  </si>
  <si>
    <t>sheets/day</t>
  </si>
  <si>
    <t>Sheets/day (hinges)</t>
  </si>
  <si>
    <t>Total sheets/day</t>
  </si>
  <si>
    <t>Sheets for 2 weeks</t>
  </si>
  <si>
    <t>Inventory levels and packaging unit loads</t>
  </si>
  <si>
    <t>Inventory (shovel-equivalents)</t>
  </si>
  <si>
    <t>Raw material on hand (2 wk)</t>
  </si>
  <si>
    <t>Finished goods (4 wk)</t>
  </si>
  <si>
    <t>WIP buffer (~1 shift)</t>
  </si>
  <si>
    <t>Packaging and order definitions</t>
  </si>
  <si>
    <t>Boxes per day</t>
  </si>
  <si>
    <t>boxes/day</t>
  </si>
  <si>
    <t>Pallets per day</t>
  </si>
  <si>
    <t>pallets/day</t>
  </si>
  <si>
    <t>Small order (&lt;= 1 pallet)</t>
  </si>
  <si>
    <t>shovels max</t>
  </si>
  <si>
    <t>Large order (&gt; 1 pallet)</t>
  </si>
  <si>
    <t>Storage sizing (3D footprint)</t>
  </si>
  <si>
    <t>Store</t>
  </si>
  <si>
    <t>Items</t>
  </si>
  <si>
    <t>Racks/positions</t>
  </si>
  <si>
    <t>Floor area (m2)</t>
  </si>
  <si>
    <t>Raw tube</t>
  </si>
  <si>
    <t>cantilever racks</t>
  </si>
  <si>
    <t>Raw sheet</t>
  </si>
  <si>
    <t>sheet stacks</t>
  </si>
  <si>
    <t>Finished goods</t>
  </si>
  <si>
    <t>palletised, racked</t>
  </si>
  <si>
    <t>WIP staging</t>
  </si>
  <si>
    <t>decoupling buffers</t>
  </si>
  <si>
    <t>Scrap / waste</t>
  </si>
  <si>
    <t>Total storage area</t>
  </si>
  <si>
    <t>Personnel (headcount)</t>
  </si>
  <si>
    <t>Category / role</t>
  </si>
  <si>
    <t>Number</t>
  </si>
  <si>
    <t>Senior Plant Manager</t>
  </si>
  <si>
    <t>Operations Manager</t>
  </si>
  <si>
    <t>Inventory Manager</t>
  </si>
  <si>
    <t>Reception</t>
  </si>
  <si>
    <t>Purchasing</t>
  </si>
  <si>
    <t>Sales</t>
  </si>
  <si>
    <t>brief (assumed count)</t>
  </si>
  <si>
    <t>Finance</t>
  </si>
  <si>
    <t>Marketing</t>
  </si>
  <si>
    <t>Human Resources</t>
  </si>
  <si>
    <t>Plant supervisors</t>
  </si>
  <si>
    <t>~1 per dept (assumption)</t>
  </si>
  <si>
    <t>Security</t>
  </si>
  <si>
    <t>Material handlers / forklift</t>
  </si>
  <si>
    <t>Equipment-dep &amp; QA operators</t>
  </si>
  <si>
    <t>heat/sandblast/powder/inspection (assumption)</t>
  </si>
  <si>
    <t>Production operators (from Capacity)</t>
  </si>
  <si>
    <t>line processes, 1:1</t>
  </si>
  <si>
    <t>TOTAL headcount</t>
  </si>
  <si>
    <t>Parking and site vehicle provision</t>
  </si>
  <si>
    <t>Total on-site headcount</t>
  </si>
  <si>
    <t>people</t>
  </si>
  <si>
    <t>Employee bays</t>
  </si>
  <si>
    <t>Total car bays</t>
  </si>
  <si>
    <t>Car parking area</t>
  </si>
  <si>
    <t>Truck fleet area</t>
  </si>
  <si>
    <t>Total vehicle area</t>
  </si>
  <si>
    <t>Space summary and total footprint</t>
  </si>
  <si>
    <t>Area / department</t>
  </si>
  <si>
    <t>Production workstations</t>
  </si>
  <si>
    <t>machines x area/workstation</t>
  </si>
  <si>
    <t>Powder coating (enclosed)</t>
  </si>
  <si>
    <t>Heat treat + sandblast</t>
  </si>
  <si>
    <t>Raw material + WIP + scrap storage</t>
  </si>
  <si>
    <t>from Storage_3D</t>
  </si>
  <si>
    <t>Finished goods storage</t>
  </si>
  <si>
    <t>Receiving + dispatch</t>
  </si>
  <si>
    <t>Offices</t>
  </si>
  <si>
    <t>non-operator staff x area/person</t>
  </si>
  <si>
    <t>Amenities (lockers/restrooms/cafeteria)</t>
  </si>
  <si>
    <t>headcount x area/person</t>
  </si>
  <si>
    <t>Subtotal (functional floor)</t>
  </si>
  <si>
    <t>Circulation / aisles</t>
  </si>
  <si>
    <t>allowance</t>
  </si>
  <si>
    <t>Building subtotal</t>
  </si>
  <si>
    <t>Future expansion (~10%)</t>
  </si>
  <si>
    <t>TOTAL BUILDING</t>
  </si>
  <si>
    <t>Parking + truck fleet (site)</t>
  </si>
  <si>
    <t>from Parking</t>
  </si>
  <si>
    <t>INDICATIVE SITE FOOTPRINT</t>
  </si>
  <si>
    <t>Recommended machinery (types and sources; dimensions/cost supplier-based)</t>
  </si>
  <si>
    <t>Process / area</t>
  </si>
  <si>
    <t>Recommended type</t>
  </si>
  <si>
    <t>Throughput / source note</t>
  </si>
  <si>
    <t>Dimensions</t>
  </si>
  <si>
    <t>Cost</t>
  </si>
  <si>
    <t>Status</t>
  </si>
  <si>
    <t>Automatic non-ferrous cold saw, auto bar-feed, bundle cutting</t>
  </si>
  <si>
    <t>bundle cutting available (Addison Saws; Profifeed A550)</t>
  </si>
  <si>
    <t>supplier</t>
  </si>
  <si>
    <t>quote</t>
  </si>
  <si>
    <t>verify</t>
  </si>
  <si>
    <t>Threads + knurl</t>
  </si>
  <si>
    <t>Thread-rolling machine + knurling head</t>
  </si>
  <si>
    <t>15-60+ parts/min (PowerTransmission; IQS)</t>
  </si>
  <si>
    <t>Stamping (head/hinge/narrow)</t>
  </si>
  <si>
    <t>Mechanical power press + progressive die</t>
  </si>
  <si>
    <t>standard</t>
  </si>
  <si>
    <t>Bending</t>
  </si>
  <si>
    <t>Press brake</t>
  </si>
  <si>
    <t>Sharpen / serrate</t>
  </si>
  <si>
    <t>Automated grinding / serrating machine</t>
  </si>
  <si>
    <t>replaces 2 min / 1 min manual</t>
  </si>
  <si>
    <t>Rivet</t>
  </si>
  <si>
    <t>Pneumatic / hydraulic riveter</t>
  </si>
  <si>
    <t>Heat treat</t>
  </si>
  <si>
    <t>T6 artificial-ageing batch oven</t>
  </si>
  <si>
    <t>5-8 h cycle (ARC; Aluminium-guide)</t>
  </si>
  <si>
    <t>Sandblast</t>
  </si>
  <si>
    <t>Enclosed blast booth + extraction</t>
  </si>
  <si>
    <t>equipment-dependent</t>
  </si>
  <si>
    <t>Powder coat</t>
  </si>
  <si>
    <t>Conveyorised powder line (booth + oven)</t>
  </si>
  <si>
    <t>~600 parts/h; cure ~10-20 min (TheFabricator)</t>
  </si>
  <si>
    <t>Assembly / packaging</t>
  </si>
  <si>
    <t>Manual workstations</t>
  </si>
  <si>
    <t>by hand + visual check (brief)</t>
  </si>
  <si>
    <t>stations from Capacity</t>
  </si>
  <si>
    <t>No machine dimensions or costs are invented; obtain from supplier quotations.</t>
  </si>
  <si>
    <t>Alternatives evaluation matrix (template - scores to be filled for 3 layouts)</t>
  </si>
  <si>
    <t>Criterion (from brief)</t>
  </si>
  <si>
    <t>Weight</t>
  </si>
  <si>
    <t>Alt1 wtd</t>
  </si>
  <si>
    <t>Alt2 wtd</t>
  </si>
  <si>
    <t>Alt3 wtd</t>
  </si>
  <si>
    <t>Meets demand of 400 000/yr</t>
  </si>
  <si>
    <t>Logical material flow (receiving to dispatch)</t>
  </si>
  <si>
    <t>Enclosed powder coating + hazard separation</t>
  </si>
  <si>
    <t>Efficient storage and material handling</t>
  </si>
  <si>
    <t>Pedestrian / vehicle safety and site access</t>
  </si>
  <si>
    <t>~10% expansion provision</t>
  </si>
  <si>
    <t>Ease of construction / implementation</t>
  </si>
  <si>
    <t>TOTAL</t>
  </si>
  <si>
    <t>Average utilisation</t>
  </si>
  <si>
    <t>&gt;400</t>
  </si>
  <si>
    <t>brief; input = gross tubes surviving cut (cumulative scrap, Tompkins Eq.2.3)</t>
  </si>
  <si>
    <t>thread rolling can cut this; input = gross tubes surviving cut (cumulative scrap)</t>
  </si>
  <si>
    <t>Chapter 6 - Detail Design Specifications : Report Map (live figures track the workbook)</t>
  </si>
  <si>
    <t>Insert AFTER Requirements/Assumptions chapter and BEFORE Design Alternatives. Each table needs a caption + an in-text reference (brief requirement).</t>
  </si>
  <si>
    <t>Report section (create in 417.docx)</t>
  </si>
  <si>
    <t>Source sheet / range</t>
  </si>
  <si>
    <t>Table caption to use</t>
  </si>
  <si>
    <t>Governing equation</t>
  </si>
  <si>
    <t>Key live figure</t>
  </si>
  <si>
    <t>Value (live)</t>
  </si>
  <si>
    <t>Benchmark precedent</t>
  </si>
  <si>
    <t>6.1 Demand &amp; Production Requirement</t>
  </si>
  <si>
    <t>Demand!A3:D9</t>
  </si>
  <si>
    <t>Table 4: Demand and production requirement</t>
  </si>
  <si>
    <t>Daily = ROUNDUP(Annual / Workdays); Takt = Effective time / Daily demand</t>
  </si>
  <si>
    <t>Takt time (s/shovel)</t>
  </si>
  <si>
    <t>B Table 2; A Tables 7-8</t>
  </si>
  <si>
    <t>Demand!A11:D17</t>
  </si>
  <si>
    <t>Table 5: Part-level daily requirement</t>
  </si>
  <si>
    <t>Gross = Good / (1 - scrap)   [Tompkins Eq.2.2]</t>
  </si>
  <si>
    <t>Daily demand (shovels/day)</t>
  </si>
  <si>
    <t>B Table 2; A Table 7</t>
  </si>
  <si>
    <t>6.2 Raw Material Requirements</t>
  </si>
  <si>
    <t>RawMaterials!A3:C9</t>
  </si>
  <si>
    <t>Table 6: Aluminium tube requirement</t>
  </si>
  <si>
    <t>Tubes/day = Gross sections per day / Sections per 6 m tube</t>
  </si>
  <si>
    <t>B Table 3; A Tables 6, 18</t>
  </si>
  <si>
    <t>RawMaterials!A11:C22</t>
  </si>
  <si>
    <t>Table 7: Aluminium sheet requirement</t>
  </si>
  <si>
    <t>Sheets/day = Gross parts per day / Parts nested per sheet</t>
  </si>
  <si>
    <t>Total sheets per day</t>
  </si>
  <si>
    <t>6.3 Manufacturing Time &amp; Takt</t>
  </si>
  <si>
    <t>Inputs!B8:E13</t>
  </si>
  <si>
    <t>Table 8: Shift, effective time and takt</t>
  </si>
  <si>
    <t>Effective time = Shift - Breaks; Takt = Effective / Daily demand</t>
  </si>
  <si>
    <t>Effective time (min/day)</t>
  </si>
  <si>
    <t>B Section 6.2; A Table 1</t>
  </si>
  <si>
    <t>6.4 Capacity Analysis (machines &amp; operators)</t>
  </si>
  <si>
    <t>Capacity!A3:P19</t>
  </si>
  <si>
    <t>Table 9: Per-process capacity analysis</t>
  </si>
  <si>
    <t>Machines = ROUNDUP((Daily gross x Cycle) / Effective time)   [Tompkins Eq.2.5]</t>
  </si>
  <si>
    <t>Total machines (line)</t>
  </si>
  <si>
    <t>B Table 9; A Tables 9-16 (CORE EXHIBIT)</t>
  </si>
  <si>
    <t>Capacity!O18</t>
  </si>
  <si>
    <t>Table 9 (cont.): Operator requirement</t>
  </si>
  <si>
    <t>Operators = Machines x Operators per machine (1:1 baseline)</t>
  </si>
  <si>
    <t>Total operators (line)</t>
  </si>
  <si>
    <t>B Table 9; A Tables 9-16</t>
  </si>
  <si>
    <t>6.4 Capacity Analysis - bottleneck note</t>
  </si>
  <si>
    <t>Capacity!A10 / N19</t>
  </si>
  <si>
    <t>In-text: bottleneck &amp; average utilisation</t>
  </si>
  <si>
    <t>Util = Time(min/day) / (Machines x Effective time)</t>
  </si>
  <si>
    <t>B Section 6 narrative</t>
  </si>
  <si>
    <t>6.5 Equipment-dependent processes</t>
  </si>
  <si>
    <t>Equipment-dep!A3:C20</t>
  </si>
  <si>
    <t>Table 10: Equipment-dependent processes</t>
  </si>
  <si>
    <t>Lines = ROUNDUP(Items/day / (Line rate x Productive hours))</t>
  </si>
  <si>
    <t>B Tables 17-19</t>
  </si>
  <si>
    <t>RULE: Everything spreadsheet-derived (6.1-6.5, and later the Ch7 space tables) must precede the Design Alternatives / MFP chapters, because layout decisions depend on these numbers.</t>
  </si>
  <si>
    <t>Bottleneck analysis and demand sensitivity</t>
  </si>
  <si>
    <t>Pulls live from Capacity. Highest utilisation = constraint; +10% demand shows expansion margin.</t>
  </si>
  <si>
    <t>Utilisation</t>
  </si>
  <si>
    <t>+10% util</t>
  </si>
  <si>
    <t>Action if +10%</t>
  </si>
  <si>
    <t>Bottleneck summary (read into report 6.4):</t>
  </si>
  <si>
    <t>Primary constraints</t>
  </si>
  <si>
    <t>Sharpen blade; Cut handle; Knurl+thread</t>
  </si>
  <si>
    <t>Constraint utilisation</t>
  </si>
  <si>
    <t>at or above 95% on 1-shift basis</t>
  </si>
  <si>
    <t>Slack stations</t>
  </si>
  <si>
    <t>Stamping, bending, riveting &lt;35% util</t>
  </si>
  <si>
    <t>Sensitivity (+10% demand)</t>
  </si>
  <si>
    <t>Cut handle and Knurl+thread tip over 100% -&gt; add 1 machine each; sharpen at ~104% -&gt; +1 grinder. All other stations absorb without extra capex.</t>
  </si>
  <si>
    <t>Implication for MFP</t>
  </si>
  <si>
    <t>Reserve floor area adjacent to cut, knurl+thread and sharpen cells; equals the 10% expansion provision.</t>
  </si>
  <si>
    <t>Alt 1: Linear spine</t>
  </si>
  <si>
    <t>Alt 2: U-shape return</t>
  </si>
  <si>
    <t>Alt 3: Parallel-branch + finishing spine</t>
  </si>
  <si>
    <t>Scoring rubric: 1 poor, 2 weak, 3 acceptable, 4 good, 5 excellent (anchored to each criterion).</t>
  </si>
  <si>
    <t>Alt 1 (Linear spine): one-direction flow from receiving to dispatch; cells laid out left-to-right. Strong logical flow and easy construction; powder-coat mid-line forces longer fume duct runs and intersects pedestrian routes.</t>
  </si>
  <si>
    <t>Alt 2 (U-shape): receiving and dispatch share one face; flow wraps around. Best compactness and material handling, but powder-coat enclosure crowded against active work and weak expansion margin in tight footprint.</t>
  </si>
  <si>
    <t>Alt 3 (Parallel-branch + finishing spine): tube and sheet feeders run as two parallel halls feeding a perpendicular finishing+assembly+pack spine; powder-coat as a separated block off the spine with dedicated extraction. Strongest hazard separation and 10% expansion margin (add another feeder cell); slightly higher build complexity and pedestrian crossings.</t>
  </si>
  <si>
    <t>Recommended: highest weighted score = chosen alternative; ties broken in favour of rigorous hazard isolation and expansion margin (Alt 3) given the brief's enclosed-powder-coat and 10%-growth requirements.</t>
  </si>
  <si>
    <t>Chapter 10 Business Case: capex, risks, schedule (capex only; opex handed to Operations)</t>
  </si>
  <si>
    <t>Area / category</t>
  </si>
  <si>
    <t>Rate (R/m2)</t>
  </si>
  <si>
    <t>Capex (R)</t>
  </si>
  <si>
    <t>Basis / source</t>
  </si>
  <si>
    <t>Production + storage hall</t>
  </si>
  <si>
    <t>module lecture R/m2 indicative; verify quote</t>
  </si>
  <si>
    <t>Offices (admin)</t>
  </si>
  <si>
    <t>supplier-based estimate required</t>
  </si>
  <si>
    <t>Amenities (lockers, restrooms, cafeteria)</t>
  </si>
  <si>
    <t>Powder-coat enclosure + extraction</t>
  </si>
  <si>
    <t>supplier-based; HVAC + fire suppression</t>
  </si>
  <si>
    <t>Parking + internal roads</t>
  </si>
  <si>
    <t>Subtotal building</t>
  </si>
  <si>
    <t>Equipment capex (supplier-based; quote required)</t>
  </si>
  <si>
    <t>Equipment</t>
  </si>
  <si>
    <t>Qty</t>
  </si>
  <si>
    <t>Indicative unit cost (R)</t>
  </si>
  <si>
    <t>Supplier-class source</t>
  </si>
  <si>
    <t>Subtotal equipment</t>
  </si>
  <si>
    <t>Risk register</t>
  </si>
  <si>
    <t>Risk</t>
  </si>
  <si>
    <t>Likelihood</t>
  </si>
  <si>
    <t>Impact</t>
  </si>
  <si>
    <t>Score</t>
  </si>
  <si>
    <t>Mitigation</t>
  </si>
  <si>
    <t>Implementation schedule (high-level, 11 months)</t>
  </si>
  <si>
    <t>Phase</t>
  </si>
  <si>
    <t>Months</t>
  </si>
  <si>
    <t>Key activities</t>
  </si>
  <si>
    <t>Traceability matrix: requirement -&gt; design element -&gt; evidence in report and MFP</t>
  </si>
  <si>
    <t>Req #</t>
  </si>
  <si>
    <t>Requirement (from brief)</t>
  </si>
  <si>
    <t>Design response</t>
  </si>
  <si>
    <t>Live figure</t>
  </si>
  <si>
    <t>Report section</t>
  </si>
  <si>
    <t>MFP zone</t>
  </si>
  <si>
    <t>Verified</t>
  </si>
  <si>
    <t>Blue = input; black = formula; green = link from another sheet; yellow = key designer assumption to confirm. New sheets: Bottleneck, Evaluation (scored), BusinessCase, Traceability.</t>
  </si>
  <si>
    <t>Audit aid for examiner. Every requirement must show a numeric link, a report section, and a visible MFP location.</t>
  </si>
  <si>
    <t>R1</t>
  </si>
  <si>
    <t>Meet 400 000 shovels/yr</t>
  </si>
  <si>
    <t>1 819 good shovels/day at 480 effective min</t>
  </si>
  <si>
    <t>6.1, 6.4</t>
  </si>
  <si>
    <t>entire production hall</t>
  </si>
  <si>
    <t>yes</t>
  </si>
  <si>
    <t>R2</t>
  </si>
  <si>
    <t>Single 9 h shift, 220 workdays</t>
  </si>
  <si>
    <t>480 effective min/day (60 min breaks)</t>
  </si>
  <si>
    <t>scheduling assumption</t>
  </si>
  <si>
    <t>R3</t>
  </si>
  <si>
    <t>5% scrap on tube cut and sheet stamp only</t>
  </si>
  <si>
    <t>Cut/stamp grossed at 1 915/day; downstream cumulative</t>
  </si>
  <si>
    <t>scrap bin and waste store on MFP</t>
  </si>
  <si>
    <t>R4</t>
  </si>
  <si>
    <t>Powder coating in enclosed area</t>
  </si>
  <si>
    <t>Dedicated enclosure with extraction, off finishing spine</t>
  </si>
  <si>
    <t>6.5, 7</t>
  </si>
  <si>
    <t>powder-coat block, hatched, with extraction arrow</t>
  </si>
  <si>
    <t>R5</t>
  </si>
  <si>
    <t>2 weeks raw material on hand</t>
  </si>
  <si>
    <t>18 190 shovel-equivalents; tube + sheet</t>
  </si>
  <si>
    <t>6.2, 7</t>
  </si>
  <si>
    <t>RM zone at receiving end</t>
  </si>
  <si>
    <t>R6</t>
  </si>
  <si>
    <t>4 weeks finished goods on hand</t>
  </si>
  <si>
    <t>36 380 shovels; palletised, racked</t>
  </si>
  <si>
    <t>FG zone at dispatch end</t>
  </si>
  <si>
    <t>R7</t>
  </si>
  <si>
    <t>~10% expansion provision (5 yr)</t>
  </si>
  <si>
    <t>170 m2 reserved adjacent to bottleneck cells</t>
  </si>
  <si>
    <t>7, 9</t>
  </si>
  <si>
    <t>hatched expansion strip on MFP</t>
  </si>
  <si>
    <t>R8</t>
  </si>
  <si>
    <t>Small order = on-site customer collection</t>
  </si>
  <si>
    <t>Retail collection point at dispatch face</t>
  </si>
  <si>
    <t>6.5, 9</t>
  </si>
  <si>
    <t>small-order pickup window</t>
  </si>
  <si>
    <t>R9</t>
  </si>
  <si>
    <t>Large order = own truck fleet</t>
  </si>
  <si>
    <t>6 truck bays on site</t>
  </si>
  <si>
    <t>truck bays + manoeuvring apron</t>
  </si>
  <si>
    <t>R10</t>
  </si>
  <si>
    <t>Heat treat + sandblast spaces</t>
  </si>
  <si>
    <t>Supplier-class oven + booth area</t>
  </si>
  <si>
    <t>heat treat / sandblast block</t>
  </si>
  <si>
    <t>R11</t>
  </si>
  <si>
    <t>At least 3 alternatives, weighted evaluation</t>
  </si>
  <si>
    <t>Linear, U-shape, parallel-branch; weighted scores</t>
  </si>
  <si>
    <t>7, 8</t>
  </si>
  <si>
    <t>alternative block-layout figures</t>
  </si>
  <si>
    <t>R12</t>
  </si>
  <si>
    <t>MFP with workstations, MH, storage, R&amp;D, personnel</t>
  </si>
  <si>
    <t>Complete MFP, scaled, with flow arrows + dimensions</t>
  </si>
  <si>
    <t>whole MFP</t>
  </si>
  <si>
    <t>R13</t>
  </si>
  <si>
    <t>Personnel + parking + amenities</t>
  </si>
  <si>
    <t>60 headcount; 70 car bays + 6 truck bays; amenities sized</t>
  </si>
  <si>
    <t>employee + visitor + truck parking; amenities block</t>
  </si>
  <si>
    <t>R14</t>
  </si>
  <si>
    <t>UK English; no AI references; assumptions labelled</t>
  </si>
  <si>
    <t>Style and integrity rules applied through report</t>
  </si>
  <si>
    <t>whole report</t>
  </si>
  <si>
    <t>R15</t>
  </si>
  <si>
    <t>Two MFP files uploaded (drawio source + PDF)</t>
  </si>
  <si>
    <t>Draw.io source kept; PDF exported; A2 colour print</t>
  </si>
  <si>
    <t>submission</t>
  </si>
  <si>
    <t>pending upload</t>
  </si>
  <si>
    <t>Automatic cold saw with bar feed (tube cut)</t>
  </si>
  <si>
    <t>ProfiFeed A420 class; supplier quote</t>
  </si>
  <si>
    <t>Electric tapping machine (internal thread)</t>
  </si>
  <si>
    <t>Roscamat Tiger class; supplier quote</t>
  </si>
  <si>
    <t>Ram-type tube end former (narrow end)</t>
  </si>
  <si>
    <t>Hippo class; supplier quote</t>
  </si>
  <si>
    <t>Two-die thread/profile rolling machine (knurl + thread)</t>
  </si>
  <si>
    <t>Profimach PTR 42 class; supplier quote</t>
  </si>
  <si>
    <t>Power press, progressive die (shovel head stamp)</t>
  </si>
  <si>
    <t>mechanical press class; supplier quote</t>
  </si>
  <si>
    <t>Press brake (shovel head shape/bend)</t>
  </si>
  <si>
    <t>press brake class; supplier quote</t>
  </si>
  <si>
    <t>Automated grinder (blade sharpening, 8 units)</t>
  </si>
  <si>
    <t>automated grinder class; supplier quote</t>
  </si>
  <si>
    <t>Automated serrator (blade serrate, 4 units)</t>
  </si>
  <si>
    <t>automated serrator class; supplier quote</t>
  </si>
  <si>
    <t>Power press, progressive die (hinge stamp)</t>
  </si>
  <si>
    <t>Small press brake (hinge bend)</t>
  </si>
  <si>
    <t>Pneumatic riveter</t>
  </si>
  <si>
    <t>standard riveter class; supplier quote</t>
  </si>
  <si>
    <t>Polishing / deburring station (4 units)</t>
  </si>
  <si>
    <t>buffing/deburring class; supplier quote</t>
  </si>
  <si>
    <t>Assembly workstation (bench + tooling)</t>
  </si>
  <si>
    <t>fitting bench + tooling</t>
  </si>
  <si>
    <t>Packaging workstation (bench + tape + scale)</t>
  </si>
  <si>
    <t>T6 ageing batch oven</t>
  </si>
  <si>
    <t>ARC / aluminium ageing furnace class; supplier quote</t>
  </si>
  <si>
    <t>Sandblasting booth with extraction</t>
  </si>
  <si>
    <t>enclosed booth class; supplier quote</t>
  </si>
  <si>
    <t>Powder-coat conveyor + booth + cure oven</t>
  </si>
  <si>
    <t>conveyorised 600 parts/h line; supplier quote</t>
  </si>
  <si>
    <t>Counterbalance forklift (3 t)</t>
  </si>
  <si>
    <t>standard 3 t forklift class</t>
  </si>
  <si>
    <t>Pallet jacks and trolleys</t>
  </si>
  <si>
    <t>standard MH</t>
  </si>
  <si>
    <t>TOTAL ESTIMATED CAPEX (building + equipment)</t>
  </si>
  <si>
    <t>Powder-coat enclosure construction delay</t>
  </si>
  <si>
    <t>High</t>
  </si>
  <si>
    <t>Phase build: powder line on critical path; pre-order long-lead extraction units; commission in parallel</t>
  </si>
  <si>
    <t>Equipment delivery lead time (heat-treat oven, powder line)</t>
  </si>
  <si>
    <t>Medium</t>
  </si>
  <si>
    <t>Place orders at design freeze; penalty clauses; identify alternate suppliers</t>
  </si>
  <si>
    <t>Aluminium price volatility</t>
  </si>
  <si>
    <t>6-month rolling supplier contracts; track LME; pass-through clause to customers</t>
  </si>
  <si>
    <t>Bottleneck stations under +10% demand growth</t>
  </si>
  <si>
    <t>Reserve floor space adjacent to cut, knurl+thread and sharpen for +1 machine each; utilities sized at +20% margin</t>
  </si>
  <si>
    <t>Skilled operator shortage (threading, powder coat)</t>
  </si>
  <si>
    <t>8-week training programme; TVET partnership; OEM training during commissioning</t>
  </si>
  <si>
    <t>Regulatory approval (zoning, fume emissions)</t>
  </si>
  <si>
    <t>Low</t>
  </si>
  <si>
    <t>Municipality engagement at concept; environmental compliance certificate before slab pour</t>
  </si>
  <si>
    <t>Building cost overrun</t>
  </si>
  <si>
    <t>Fixed-price contract with QS oversight; 10% capex contingency</t>
  </si>
  <si>
    <t>Forklift / pedestrian collision</t>
  </si>
  <si>
    <t>Painted pedestrian lanes; mirrors at blind corners; speed governors; induction training</t>
  </si>
  <si>
    <t>1. Design freeze + procurement</t>
  </si>
  <si>
    <t>M1-M2</t>
  </si>
  <si>
    <t>Detail design sign-off; quotations; place equipment orders (long-lead first)</t>
  </si>
  <si>
    <t>2. Site preparation</t>
  </si>
  <si>
    <t>M2-M3</t>
  </si>
  <si>
    <t>Earthworks, services, foundations</t>
  </si>
  <si>
    <t>3. Building construction</t>
  </si>
  <si>
    <t>M3-M7</t>
  </si>
  <si>
    <t>Slab, structure, envelope, internal walls; powder-coat enclosure in parallel</t>
  </si>
  <si>
    <t>4. Services and utilities</t>
  </si>
  <si>
    <t>M5-M8</t>
  </si>
  <si>
    <t>Power (3-phase), water, compressed air, HVAC, fume extraction, fire suppression</t>
  </si>
  <si>
    <t>5. Equipment installation</t>
  </si>
  <si>
    <t>M7-M9</t>
  </si>
  <si>
    <t>Machines positioned, levelled, wired, commissioned</t>
  </si>
  <si>
    <t>6. Trial production and ramp-up</t>
  </si>
  <si>
    <t>M9-M10</t>
  </si>
  <si>
    <t>First-off parts, capacity tests, operator training, OEM sign-off</t>
  </si>
  <si>
    <t>7. Handover to Operations</t>
  </si>
  <si>
    <t>M10-M11</t>
  </si>
  <si>
    <t>Documentation, spares, maintenance plan, formal handover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</si>
</sst>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"/>
    <numFmt numFmtId="166" formatCode="0\.0%"/>
    <numFmt numFmtId="167" formatCode="#.##0"/>
  </numFmts>
  <fonts count="20" x14ac:knownFonts="1">
    <font>
      <sz val="11"/>
      <color theme="1"/>
      <name val="Calibri"/>
      <family val="2"/>
      <charset val="1"/>
    </font>
    <font>
      <b/>
      <sz val="13"/>
      <color rgb="FF1F4E79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b/>
      <sz val="14"/>
      <color rgb="FF1F4E78"/>
      <name val="Calibri"/>
      <family val="2"/>
      <charset val="1"/>
    </font>
    <font>
      <i/>
      <sz val="11"/>
      <color rgb="FF555555"/>
      <name val="Calibri"/>
      <family val="2"/>
      <charset val="1"/>
    </font>
    <font>
      <i/>
      <sz val="11"/>
      <color rgb="FF9C2D2D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2E7D32"/>
      <name val="Calibri"/>
      <family val="2"/>
      <charset val="1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000000"/>
      <name val="Calibri"/>
    </font>
    <font>
      <b/>
      <sz val="13"/>
      <color rgb="FFFFFFFF"/>
      <name val="Calibri"/>
    </font>
    <font>
      <b/>
      <sz val="11"/>
      <color rgb="FF582C83"/>
      <name val="Calibri"/>
    </font>
    <font>
      <b/>
      <sz val="11"/>
      <color theme="1"/>
      <name val="Calibri"/>
      <family val="2"/>
    </font>
    <font>
      <b/>
      <i/>
      <sz val="11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EAF0F6"/>
      </patternFill>
    </fill>
    <fill>
      <patternFill patternType="solid">
        <fgColor rgb="FFEAF0F6"/>
        <bgColor rgb="FFFFFFFF"/>
      </patternFill>
    </fill>
    <fill>
      <patternFill patternType="solid">
        <fgColor rgb="FFD6E0EA"/>
        <bgColor rgb="FFEAF0F6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82C83"/>
        <bgColor indexed="64"/>
      </patternFill>
    </fill>
    <fill>
      <patternFill patternType="solid">
        <fgColor rgb="FF2D1B47"/>
        <bgColor indexed="64"/>
      </patternFill>
    </fill>
    <fill>
      <patternFill patternType="solid">
        <fgColor rgb="FFD9CCE8"/>
        <bgColor indexed="64"/>
      </patternFill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2" fillId="0" borderId="1" xfId="0" applyFont="1" applyBorder="1"/>
    <xf numFmtId="0" fontId="5" fillId="3" borderId="1" xfId="0" applyFont="1" applyFill="1" applyBorder="1"/>
    <xf numFmtId="0" fontId="4" fillId="5" borderId="1" xfId="0" applyFont="1" applyFill="1" applyBorder="1"/>
    <xf numFmtId="0" fontId="0" fillId="5" borderId="1" xfId="0" applyFill="1" applyBorder="1"/>
    <xf numFmtId="0" fontId="0" fillId="0" borderId="0" xfId="0" applyAlignment="1">
      <alignment wrapText="1"/>
    </xf>
    <xf numFmtId="0" fontId="10" fillId="6" borderId="0" xfId="0" applyFont="1" applyFill="1" applyAlignment="1">
      <alignment horizontal="center" vertical="top" wrapText="1"/>
    </xf>
    <xf numFmtId="0" fontId="0" fillId="0" borderId="2" xfId="0" applyBorder="1" applyAlignment="1">
      <alignment vertical="top" wrapText="1"/>
    </xf>
    <xf numFmtId="2" fontId="11" fillId="0" borderId="2" xfId="0" applyNumberFormat="1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0" fillId="7" borderId="2" xfId="0" applyFill="1" applyBorder="1" applyAlignment="1">
      <alignment vertical="top" wrapText="1"/>
    </xf>
    <xf numFmtId="0" fontId="11" fillId="7" borderId="2" xfId="0" applyFont="1" applyFill="1" applyBorder="1" applyAlignment="1">
      <alignment horizontal="center" vertical="top" wrapText="1"/>
    </xf>
    <xf numFmtId="164" fontId="11" fillId="7" borderId="2" xfId="0" applyNumberFormat="1" applyFont="1" applyFill="1" applyBorder="1" applyAlignment="1">
      <alignment horizontal="center" vertical="top" wrapText="1"/>
    </xf>
    <xf numFmtId="1" fontId="11" fillId="0" borderId="2" xfId="0" applyNumberFormat="1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vertical="top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4" fillId="0" borderId="3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6" fillId="8" borderId="3" xfId="0" applyFont="1" applyFill="1" applyBorder="1" applyAlignment="1">
      <alignment vertical="center"/>
    </xf>
    <xf numFmtId="0" fontId="12" fillId="9" borderId="3" xfId="0" applyFont="1" applyFill="1" applyBorder="1" applyAlignment="1">
      <alignment horizontal="center" vertical="center" wrapText="1"/>
    </xf>
    <xf numFmtId="0" fontId="17" fillId="10" borderId="3" xfId="0" applyFont="1" applyFill="1" applyBorder="1" applyAlignment="1">
      <alignment vertical="center"/>
    </xf>
    <xf numFmtId="0" fontId="13" fillId="4" borderId="3" xfId="0" applyFont="1" applyFill="1" applyBorder="1" applyAlignment="1">
      <alignment vertical="center"/>
    </xf>
    <xf numFmtId="0" fontId="14" fillId="4" borderId="3" xfId="0" applyFont="1" applyFill="1" applyBorder="1" applyAlignment="1">
      <alignment vertical="center"/>
    </xf>
    <xf numFmtId="164" fontId="13" fillId="4" borderId="3" xfId="0" applyNumberFormat="1" applyFont="1" applyFill="1" applyBorder="1" applyAlignment="1">
      <alignment vertical="center"/>
    </xf>
    <xf numFmtId="0" fontId="15" fillId="4" borderId="3" xfId="0" applyFont="1" applyFill="1" applyBorder="1" applyAlignment="1">
      <alignment vertical="center"/>
    </xf>
    <xf numFmtId="164" fontId="13" fillId="0" borderId="3" xfId="0" applyNumberFormat="1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164" fontId="13" fillId="0" borderId="4" xfId="0" applyNumberFormat="1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4" fillId="10" borderId="6" xfId="0" applyFont="1" applyFill="1" applyBorder="1" applyAlignment="1">
      <alignment vertical="center"/>
    </xf>
    <xf numFmtId="0" fontId="14" fillId="10" borderId="7" xfId="0" applyFont="1" applyFill="1" applyBorder="1" applyAlignment="1">
      <alignment vertical="center"/>
    </xf>
    <xf numFmtId="164" fontId="14" fillId="10" borderId="6" xfId="0" applyNumberFormat="1" applyFont="1" applyFill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12" fillId="8" borderId="6" xfId="0" applyFont="1" applyFill="1" applyBorder="1" applyAlignment="1">
      <alignment vertical="center"/>
    </xf>
    <xf numFmtId="165" fontId="13" fillId="0" borderId="3" xfId="0" applyNumberFormat="1" applyFont="1" applyBorder="1" applyAlignment="1">
      <alignment vertical="center"/>
    </xf>
    <xf numFmtId="1" fontId="13" fillId="0" borderId="3" xfId="0" applyNumberFormat="1" applyFont="1" applyBorder="1" applyAlignment="1">
      <alignment vertical="center"/>
    </xf>
    <xf numFmtId="1" fontId="14" fillId="0" borderId="3" xfId="0" applyNumberFormat="1" applyFont="1" applyBorder="1" applyAlignment="1">
      <alignment vertical="center"/>
    </xf>
    <xf numFmtId="1" fontId="17" fillId="10" borderId="3" xfId="0" applyNumberFormat="1" applyFont="1" applyFill="1" applyBorder="1" applyAlignment="1">
      <alignment vertical="center"/>
    </xf>
    <xf numFmtId="1" fontId="13" fillId="0" borderId="4" xfId="0" applyNumberFormat="1" applyFont="1" applyBorder="1" applyAlignment="1">
      <alignment vertical="center"/>
    </xf>
    <xf numFmtId="0" fontId="18" fillId="0" borderId="0" xfId="0" applyFont="1"/>
    <xf numFmtId="166" fontId="0" fillId="0" borderId="0" xfId="0" applyNumberFormat="1"/>
    <xf numFmtId="166" fontId="18" fillId="0" borderId="0" xfId="0" applyNumberFormat="1" applyFont="1"/>
    <xf numFmtId="0" fontId="19" fillId="2" borderId="1" xfId="0" applyFont="1" applyFill="1" applyBorder="1" applyAlignment="1">
      <alignment horizontal="center" vertical="center" wrapText="1"/>
    </xf>
    <xf numFmtId="167" fontId="0" fillId="0" borderId="0" xfId="0" applyNumberFormat="1"/>
    <xf numFmtId="167" fontId="18" fillId="0" borderId="0" xfId="0" applyNumberFormat="1" applyFont="1"/>
    <xf numFmtId="167" fontId="18" fillId="11" borderId="0" xfId="0" applyNumberFormat="1" applyFont="1" applyFill="1"/>
    <xf numFmtId="0" fontId="1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6"/>
      <rgbColor rgb="FF660066"/>
      <rgbColor rgb="FFFF8080"/>
      <rgbColor rgb="FF0066CC"/>
      <rgbColor rgb="FFD6E0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zoomScaleNormal="100" workbookViewId="0">
      <selection activeCell="C59" sqref="C59"/>
    </sheetView>
  </sheetViews>
  <sheetFormatPr defaultColWidth="8.6640625" defaultRowHeight="14.4" x14ac:dyDescent="0.3"/>
  <cols>
    <col min="2" max="2" width="30" customWidth="1"/>
    <col min="3" max="4" width="12" customWidth="1"/>
    <col min="5" max="5" width="46" customWidth="1"/>
  </cols>
  <sheetData>
    <row r="1" spans="1:5" ht="16.8" x14ac:dyDescent="0.3">
      <c r="A1" s="1" t="s">
        <v>0</v>
      </c>
    </row>
    <row r="2" spans="1:5" x14ac:dyDescent="0.3">
      <c r="A2" s="2" t="s">
        <v>487</v>
      </c>
    </row>
    <row r="4" spans="1:5" x14ac:dyDescent="0.3">
      <c r="B4" s="3" t="s">
        <v>1</v>
      </c>
      <c r="C4" s="3" t="s">
        <v>2</v>
      </c>
      <c r="D4" s="3" t="s">
        <v>3</v>
      </c>
      <c r="E4" s="3" t="s">
        <v>4</v>
      </c>
    </row>
    <row r="5" spans="1:5" x14ac:dyDescent="0.3">
      <c r="B5" s="4" t="s">
        <v>5</v>
      </c>
      <c r="C5" s="5">
        <v>400000</v>
      </c>
      <c r="D5" s="6" t="s">
        <v>6</v>
      </c>
      <c r="E5" s="7" t="s">
        <v>7</v>
      </c>
    </row>
    <row r="6" spans="1:5" x14ac:dyDescent="0.3">
      <c r="B6" s="4" t="s">
        <v>8</v>
      </c>
      <c r="C6" s="5">
        <v>220</v>
      </c>
      <c r="D6" s="6" t="s">
        <v>9</v>
      </c>
      <c r="E6" s="7" t="s">
        <v>7</v>
      </c>
    </row>
    <row r="7" spans="1:5" x14ac:dyDescent="0.3">
      <c r="B7" s="4" t="s">
        <v>10</v>
      </c>
      <c r="C7" s="6">
        <f>ROUNDUP(C5/C6,0)</f>
        <v>1819</v>
      </c>
      <c r="D7" s="6" t="s">
        <v>11</v>
      </c>
      <c r="E7" s="7" t="s">
        <v>12</v>
      </c>
    </row>
    <row r="8" spans="1:5" x14ac:dyDescent="0.3">
      <c r="B8" s="4" t="s">
        <v>13</v>
      </c>
      <c r="C8" s="5">
        <v>540</v>
      </c>
      <c r="D8" s="6" t="s">
        <v>14</v>
      </c>
      <c r="E8" s="7" t="s">
        <v>15</v>
      </c>
    </row>
    <row r="9" spans="1:5" x14ac:dyDescent="0.3">
      <c r="B9" s="4" t="s">
        <v>16</v>
      </c>
      <c r="C9" s="5">
        <v>60</v>
      </c>
      <c r="D9" s="6" t="s">
        <v>14</v>
      </c>
      <c r="E9" s="7" t="s">
        <v>17</v>
      </c>
    </row>
    <row r="10" spans="1:5" x14ac:dyDescent="0.3">
      <c r="B10" s="4" t="s">
        <v>18</v>
      </c>
      <c r="C10" s="6">
        <f>C8-C9</f>
        <v>480</v>
      </c>
      <c r="D10" s="6" t="s">
        <v>19</v>
      </c>
      <c r="E10" s="7" t="s">
        <v>20</v>
      </c>
    </row>
    <row r="11" spans="1:5" x14ac:dyDescent="0.3">
      <c r="B11" s="4" t="s">
        <v>21</v>
      </c>
      <c r="C11" s="8">
        <v>1</v>
      </c>
      <c r="D11" s="6" t="s">
        <v>22</v>
      </c>
      <c r="E11" s="7" t="s">
        <v>23</v>
      </c>
    </row>
    <row r="12" spans="1:5" x14ac:dyDescent="0.3">
      <c r="B12" s="4" t="s">
        <v>24</v>
      </c>
      <c r="C12" s="6">
        <f>C10*C11</f>
        <v>480</v>
      </c>
      <c r="D12" s="6" t="s">
        <v>19</v>
      </c>
      <c r="E12" s="7" t="s">
        <v>25</v>
      </c>
    </row>
    <row r="13" spans="1:5" x14ac:dyDescent="0.3">
      <c r="B13" s="4" t="s">
        <v>26</v>
      </c>
      <c r="C13" s="6">
        <f>ROUND((C10*60)/C7,2)</f>
        <v>15.83</v>
      </c>
      <c r="D13" s="6" t="s">
        <v>27</v>
      </c>
      <c r="E13" s="7" t="s">
        <v>28</v>
      </c>
    </row>
    <row r="14" spans="1:5" x14ac:dyDescent="0.3">
      <c r="B14" s="4" t="s">
        <v>29</v>
      </c>
      <c r="C14" s="5">
        <v>0.05</v>
      </c>
      <c r="D14" s="6" t="s">
        <v>22</v>
      </c>
      <c r="E14" s="7" t="s">
        <v>30</v>
      </c>
    </row>
    <row r="15" spans="1:5" x14ac:dyDescent="0.3">
      <c r="B15" s="4" t="s">
        <v>31</v>
      </c>
      <c r="C15" s="6">
        <f>1-C14</f>
        <v>0.95</v>
      </c>
      <c r="D15" s="6" t="s">
        <v>22</v>
      </c>
      <c r="E15" s="7" t="s">
        <v>32</v>
      </c>
    </row>
    <row r="16" spans="1:5" x14ac:dyDescent="0.3">
      <c r="B16" s="4" t="s">
        <v>33</v>
      </c>
      <c r="C16" s="8">
        <v>1</v>
      </c>
      <c r="D16" s="6" t="s">
        <v>34</v>
      </c>
      <c r="E16" s="7" t="s">
        <v>35</v>
      </c>
    </row>
    <row r="17" spans="2:5" x14ac:dyDescent="0.3">
      <c r="B17" s="4" t="s">
        <v>36</v>
      </c>
      <c r="C17" s="8">
        <v>1</v>
      </c>
      <c r="D17" s="6" t="s">
        <v>37</v>
      </c>
      <c r="E17" s="7" t="s">
        <v>38</v>
      </c>
    </row>
    <row r="18" spans="2:5" x14ac:dyDescent="0.3">
      <c r="B18" s="4" t="s">
        <v>39</v>
      </c>
      <c r="C18" s="8">
        <v>30</v>
      </c>
      <c r="D18" s="6" t="s">
        <v>27</v>
      </c>
      <c r="E18" s="7" t="s">
        <v>40</v>
      </c>
    </row>
    <row r="19" spans="2:5" x14ac:dyDescent="0.3">
      <c r="B19" s="4" t="s">
        <v>41</v>
      </c>
      <c r="C19" s="8">
        <v>6.5</v>
      </c>
      <c r="D19" s="6" t="s">
        <v>42</v>
      </c>
      <c r="E19" s="7" t="s">
        <v>43</v>
      </c>
    </row>
    <row r="20" spans="2:5" x14ac:dyDescent="0.3">
      <c r="B20" s="4" t="s">
        <v>44</v>
      </c>
      <c r="C20" s="5">
        <v>0.15</v>
      </c>
      <c r="D20" s="6" t="s">
        <v>42</v>
      </c>
      <c r="E20" s="7" t="s">
        <v>45</v>
      </c>
    </row>
    <row r="21" spans="2:5" x14ac:dyDescent="0.3">
      <c r="B21" s="4" t="s">
        <v>46</v>
      </c>
      <c r="C21" s="6">
        <f>FLOOR(C19/C20,1)</f>
        <v>43</v>
      </c>
      <c r="D21" s="6" t="s">
        <v>47</v>
      </c>
      <c r="E21" s="7" t="s">
        <v>48</v>
      </c>
    </row>
    <row r="22" spans="2:5" x14ac:dyDescent="0.3">
      <c r="B22" s="4" t="s">
        <v>49</v>
      </c>
      <c r="C22" s="5">
        <v>2</v>
      </c>
      <c r="D22" s="6" t="s">
        <v>47</v>
      </c>
      <c r="E22" s="7" t="s">
        <v>50</v>
      </c>
    </row>
    <row r="23" spans="2:5" x14ac:dyDescent="0.3">
      <c r="B23" s="4" t="s">
        <v>51</v>
      </c>
      <c r="C23" s="8">
        <v>2.5</v>
      </c>
      <c r="D23" s="6" t="s">
        <v>42</v>
      </c>
      <c r="E23" s="7" t="s">
        <v>52</v>
      </c>
    </row>
    <row r="24" spans="2:5" x14ac:dyDescent="0.3">
      <c r="B24" s="4" t="s">
        <v>53</v>
      </c>
      <c r="C24" s="8">
        <v>1.25</v>
      </c>
      <c r="D24" s="6" t="s">
        <v>42</v>
      </c>
      <c r="E24" s="7" t="s">
        <v>52</v>
      </c>
    </row>
    <row r="25" spans="2:5" x14ac:dyDescent="0.3">
      <c r="B25" s="4" t="s">
        <v>54</v>
      </c>
      <c r="C25" s="8">
        <v>0.8</v>
      </c>
      <c r="D25" s="6" t="s">
        <v>22</v>
      </c>
      <c r="E25" s="7" t="s">
        <v>55</v>
      </c>
    </row>
    <row r="26" spans="2:5" x14ac:dyDescent="0.3">
      <c r="B26" s="4" t="s">
        <v>56</v>
      </c>
      <c r="C26" s="8">
        <v>0.17</v>
      </c>
      <c r="D26" s="6" t="s">
        <v>42</v>
      </c>
      <c r="E26" s="7" t="s">
        <v>57</v>
      </c>
    </row>
    <row r="27" spans="2:5" x14ac:dyDescent="0.3">
      <c r="B27" s="4" t="s">
        <v>58</v>
      </c>
      <c r="C27" s="8">
        <v>0.14000000000000001</v>
      </c>
      <c r="D27" s="6" t="s">
        <v>42</v>
      </c>
      <c r="E27" s="7" t="s">
        <v>59</v>
      </c>
    </row>
    <row r="28" spans="2:5" x14ac:dyDescent="0.3">
      <c r="B28" s="4" t="s">
        <v>60</v>
      </c>
      <c r="C28" s="8">
        <v>0.08</v>
      </c>
      <c r="D28" s="6" t="s">
        <v>42</v>
      </c>
      <c r="E28" s="7" t="s">
        <v>55</v>
      </c>
    </row>
    <row r="29" spans="2:5" x14ac:dyDescent="0.3">
      <c r="B29" s="4" t="s">
        <v>61</v>
      </c>
      <c r="C29" s="8">
        <v>0.05</v>
      </c>
      <c r="D29" s="6" t="s">
        <v>42</v>
      </c>
      <c r="E29" s="7" t="s">
        <v>55</v>
      </c>
    </row>
    <row r="30" spans="2:5" x14ac:dyDescent="0.3">
      <c r="B30" s="4" t="s">
        <v>62</v>
      </c>
      <c r="C30" s="5">
        <v>10</v>
      </c>
      <c r="D30" s="6" t="s">
        <v>9</v>
      </c>
      <c r="E30" s="7" t="s">
        <v>63</v>
      </c>
    </row>
    <row r="31" spans="2:5" x14ac:dyDescent="0.3">
      <c r="B31" s="4" t="s">
        <v>64</v>
      </c>
      <c r="C31" s="5">
        <v>20</v>
      </c>
      <c r="D31" s="6" t="s">
        <v>9</v>
      </c>
      <c r="E31" s="7" t="s">
        <v>65</v>
      </c>
    </row>
    <row r="32" spans="2:5" x14ac:dyDescent="0.3">
      <c r="B32" s="4" t="s">
        <v>66</v>
      </c>
      <c r="C32" s="8">
        <v>1</v>
      </c>
      <c r="D32" s="6" t="s">
        <v>9</v>
      </c>
      <c r="E32" s="7" t="s">
        <v>67</v>
      </c>
    </row>
    <row r="33" spans="2:5" x14ac:dyDescent="0.3">
      <c r="B33" s="4" t="s">
        <v>68</v>
      </c>
      <c r="C33" s="8">
        <v>8</v>
      </c>
      <c r="D33" s="6" t="s">
        <v>69</v>
      </c>
      <c r="E33" s="7" t="s">
        <v>55</v>
      </c>
    </row>
    <row r="34" spans="2:5" x14ac:dyDescent="0.3">
      <c r="B34" s="4" t="s">
        <v>70</v>
      </c>
      <c r="C34" s="8">
        <v>45</v>
      </c>
      <c r="D34" s="6" t="s">
        <v>71</v>
      </c>
      <c r="E34" s="7" t="s">
        <v>55</v>
      </c>
    </row>
    <row r="35" spans="2:5" x14ac:dyDescent="0.3">
      <c r="B35" s="4" t="s">
        <v>72</v>
      </c>
      <c r="C35" s="6">
        <f>C33*C34</f>
        <v>360</v>
      </c>
      <c r="D35" s="6" t="s">
        <v>69</v>
      </c>
      <c r="E35" s="7" t="s">
        <v>73</v>
      </c>
    </row>
    <row r="36" spans="2:5" x14ac:dyDescent="0.3">
      <c r="B36" s="4" t="s">
        <v>74</v>
      </c>
      <c r="C36" s="8">
        <v>1.2</v>
      </c>
      <c r="D36" s="6" t="s">
        <v>42</v>
      </c>
      <c r="E36" s="7" t="s">
        <v>75</v>
      </c>
    </row>
    <row r="37" spans="2:5" x14ac:dyDescent="0.3">
      <c r="B37" s="4" t="s">
        <v>76</v>
      </c>
      <c r="C37" s="8">
        <v>1</v>
      </c>
      <c r="D37" s="6" t="s">
        <v>42</v>
      </c>
      <c r="E37" s="7" t="s">
        <v>75</v>
      </c>
    </row>
    <row r="38" spans="2:5" x14ac:dyDescent="0.3">
      <c r="B38" s="4" t="s">
        <v>77</v>
      </c>
      <c r="C38" s="6">
        <f>C36*C37</f>
        <v>1.2</v>
      </c>
      <c r="D38" s="6" t="s">
        <v>78</v>
      </c>
      <c r="E38" s="7"/>
    </row>
    <row r="39" spans="2:5" x14ac:dyDescent="0.3">
      <c r="B39" s="4" t="s">
        <v>79</v>
      </c>
      <c r="C39" s="8">
        <v>4</v>
      </c>
      <c r="D39" s="6" t="s">
        <v>37</v>
      </c>
      <c r="E39" s="7" t="s">
        <v>55</v>
      </c>
    </row>
    <row r="40" spans="2:5" x14ac:dyDescent="0.3">
      <c r="B40" s="4" t="s">
        <v>80</v>
      </c>
      <c r="C40" s="8">
        <v>200</v>
      </c>
      <c r="D40" s="6" t="s">
        <v>81</v>
      </c>
      <c r="E40" s="7" t="s">
        <v>55</v>
      </c>
    </row>
    <row r="41" spans="2:5" x14ac:dyDescent="0.3">
      <c r="B41" s="4" t="s">
        <v>82</v>
      </c>
      <c r="C41" s="8">
        <v>5</v>
      </c>
      <c r="D41" s="6" t="s">
        <v>78</v>
      </c>
      <c r="E41" s="7" t="s">
        <v>83</v>
      </c>
    </row>
    <row r="42" spans="2:5" x14ac:dyDescent="0.3">
      <c r="B42" s="4" t="s">
        <v>84</v>
      </c>
      <c r="C42" s="8">
        <v>150</v>
      </c>
      <c r="D42" s="6" t="s">
        <v>85</v>
      </c>
      <c r="E42" s="7" t="s">
        <v>55</v>
      </c>
    </row>
    <row r="43" spans="2:5" x14ac:dyDescent="0.3">
      <c r="B43" s="4" t="s">
        <v>86</v>
      </c>
      <c r="C43" s="8">
        <v>1.5</v>
      </c>
      <c r="D43" s="6" t="s">
        <v>37</v>
      </c>
      <c r="E43" s="7" t="s">
        <v>87</v>
      </c>
    </row>
    <row r="44" spans="2:5" x14ac:dyDescent="0.3">
      <c r="B44" s="4" t="s">
        <v>88</v>
      </c>
      <c r="C44" s="8">
        <v>6</v>
      </c>
      <c r="D44" s="6" t="s">
        <v>89</v>
      </c>
      <c r="E44" s="7" t="s">
        <v>90</v>
      </c>
    </row>
    <row r="45" spans="2:5" x14ac:dyDescent="0.3">
      <c r="B45" s="4" t="s">
        <v>91</v>
      </c>
      <c r="C45" s="8">
        <v>600</v>
      </c>
      <c r="D45" s="6" t="s">
        <v>92</v>
      </c>
      <c r="E45" s="7" t="s">
        <v>93</v>
      </c>
    </row>
    <row r="46" spans="2:5" x14ac:dyDescent="0.3">
      <c r="B46" s="4" t="s">
        <v>94</v>
      </c>
      <c r="C46" s="5">
        <v>3</v>
      </c>
      <c r="D46" s="6" t="s">
        <v>95</v>
      </c>
      <c r="E46" s="7" t="s">
        <v>96</v>
      </c>
    </row>
    <row r="47" spans="2:5" x14ac:dyDescent="0.3">
      <c r="B47" s="4" t="s">
        <v>97</v>
      </c>
      <c r="C47" s="8">
        <v>7</v>
      </c>
      <c r="D47" s="6" t="s">
        <v>78</v>
      </c>
      <c r="E47" s="7" t="s">
        <v>98</v>
      </c>
    </row>
    <row r="48" spans="2:5" x14ac:dyDescent="0.3">
      <c r="B48" s="4" t="s">
        <v>99</v>
      </c>
      <c r="C48" s="8">
        <v>0.25</v>
      </c>
      <c r="D48" s="6" t="s">
        <v>22</v>
      </c>
      <c r="E48" s="7" t="s">
        <v>55</v>
      </c>
    </row>
    <row r="49" spans="2:5" x14ac:dyDescent="0.3">
      <c r="B49" s="4" t="s">
        <v>100</v>
      </c>
      <c r="C49" s="5">
        <v>0.1</v>
      </c>
      <c r="D49" s="6" t="s">
        <v>22</v>
      </c>
      <c r="E49" s="7" t="s">
        <v>101</v>
      </c>
    </row>
    <row r="50" spans="2:5" x14ac:dyDescent="0.3">
      <c r="B50" s="4" t="s">
        <v>102</v>
      </c>
      <c r="C50" s="8">
        <v>135</v>
      </c>
      <c r="D50" s="6" t="s">
        <v>78</v>
      </c>
      <c r="E50" s="7" t="s">
        <v>103</v>
      </c>
    </row>
    <row r="51" spans="2:5" x14ac:dyDescent="0.3">
      <c r="B51" s="4" t="s">
        <v>104</v>
      </c>
      <c r="C51" s="8">
        <v>70</v>
      </c>
      <c r="D51" s="6" t="s">
        <v>78</v>
      </c>
      <c r="E51" s="7" t="s">
        <v>103</v>
      </c>
    </row>
    <row r="52" spans="2:5" x14ac:dyDescent="0.3">
      <c r="B52" s="4" t="s">
        <v>105</v>
      </c>
      <c r="C52" s="8">
        <v>30</v>
      </c>
      <c r="D52" s="6" t="s">
        <v>78</v>
      </c>
      <c r="E52" s="7" t="s">
        <v>55</v>
      </c>
    </row>
    <row r="53" spans="2:5" x14ac:dyDescent="0.3">
      <c r="B53" s="4" t="s">
        <v>106</v>
      </c>
      <c r="C53" s="8">
        <v>220</v>
      </c>
      <c r="D53" s="6" t="s">
        <v>78</v>
      </c>
      <c r="E53" s="7" t="s">
        <v>107</v>
      </c>
    </row>
    <row r="54" spans="2:5" x14ac:dyDescent="0.3">
      <c r="B54" s="4" t="s">
        <v>108</v>
      </c>
      <c r="C54" s="8">
        <v>9</v>
      </c>
      <c r="D54" s="6" t="s">
        <v>78</v>
      </c>
      <c r="E54" s="7" t="s">
        <v>55</v>
      </c>
    </row>
    <row r="55" spans="2:5" x14ac:dyDescent="0.3">
      <c r="B55" s="4" t="s">
        <v>109</v>
      </c>
      <c r="C55" s="8">
        <v>3.5</v>
      </c>
      <c r="D55" s="6" t="s">
        <v>78</v>
      </c>
      <c r="E55" s="7" t="s">
        <v>110</v>
      </c>
    </row>
    <row r="56" spans="2:5" x14ac:dyDescent="0.3">
      <c r="B56" s="4" t="s">
        <v>111</v>
      </c>
      <c r="C56" s="5">
        <v>1</v>
      </c>
      <c r="D56" s="6" t="s">
        <v>37</v>
      </c>
      <c r="E56" s="7" t="s">
        <v>112</v>
      </c>
    </row>
    <row r="57" spans="2:5" x14ac:dyDescent="0.3">
      <c r="B57" s="4" t="s">
        <v>113</v>
      </c>
      <c r="C57" s="8">
        <v>8</v>
      </c>
      <c r="D57" s="6" t="s">
        <v>114</v>
      </c>
      <c r="E57" s="7" t="s">
        <v>55</v>
      </c>
    </row>
    <row r="58" spans="2:5" x14ac:dyDescent="0.3">
      <c r="B58" s="4" t="s">
        <v>115</v>
      </c>
      <c r="C58" s="8">
        <v>28</v>
      </c>
      <c r="D58" s="6" t="s">
        <v>78</v>
      </c>
      <c r="E58" s="7" t="s">
        <v>116</v>
      </c>
    </row>
    <row r="59" spans="2:5" x14ac:dyDescent="0.3">
      <c r="B59" s="4" t="s">
        <v>117</v>
      </c>
      <c r="C59" s="8">
        <v>5</v>
      </c>
      <c r="D59" s="6" t="s">
        <v>114</v>
      </c>
      <c r="E59" s="7" t="s">
        <v>118</v>
      </c>
    </row>
    <row r="60" spans="2:5" x14ac:dyDescent="0.3">
      <c r="B60" s="4" t="s">
        <v>119</v>
      </c>
      <c r="C60" s="8">
        <v>70</v>
      </c>
      <c r="D60" s="6" t="s">
        <v>78</v>
      </c>
      <c r="E60" s="7" t="s">
        <v>120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zoomScaleNormal="100" workbookViewId="0">
      <selection activeCell="B15" sqref="B15"/>
    </sheetView>
  </sheetViews>
  <sheetFormatPr defaultColWidth="8.6640625" defaultRowHeight="14.4" x14ac:dyDescent="0.3"/>
  <cols>
    <col min="1" max="1" width="40.21875" bestFit="1" customWidth="1"/>
    <col min="2" max="2" width="9.6640625" bestFit="1" customWidth="1"/>
    <col min="3" max="3" width="10.6640625" bestFit="1" customWidth="1"/>
    <col min="4" max="4" width="19.77734375" bestFit="1" customWidth="1"/>
  </cols>
  <sheetData>
    <row r="1" spans="1:4" ht="17.399999999999999" x14ac:dyDescent="0.3">
      <c r="A1" s="27" t="s">
        <v>121</v>
      </c>
      <c r="B1" s="27"/>
      <c r="C1" s="27"/>
      <c r="D1" s="27"/>
    </row>
    <row r="2" spans="1:4" x14ac:dyDescent="0.3">
      <c r="A2" s="25"/>
      <c r="B2" s="25"/>
      <c r="C2" s="25"/>
      <c r="D2" s="25"/>
    </row>
    <row r="3" spans="1:4" x14ac:dyDescent="0.3">
      <c r="A3" s="28" t="s">
        <v>122</v>
      </c>
      <c r="B3" s="28" t="s">
        <v>2</v>
      </c>
      <c r="C3" s="28" t="s">
        <v>3</v>
      </c>
      <c r="D3" s="28" t="s">
        <v>123</v>
      </c>
    </row>
    <row r="4" spans="1:4" x14ac:dyDescent="0.3">
      <c r="A4" s="24" t="s">
        <v>5</v>
      </c>
      <c r="B4" s="25">
        <f>Inputs!$C$5</f>
        <v>400000</v>
      </c>
      <c r="C4" s="25" t="s">
        <v>6</v>
      </c>
      <c r="D4" s="26" t="s">
        <v>124</v>
      </c>
    </row>
    <row r="5" spans="1:4" x14ac:dyDescent="0.3">
      <c r="A5" s="24" t="s">
        <v>125</v>
      </c>
      <c r="B5" s="25">
        <f>Inputs!$C$6</f>
        <v>220</v>
      </c>
      <c r="C5" s="25" t="s">
        <v>9</v>
      </c>
      <c r="D5" s="26" t="s">
        <v>124</v>
      </c>
    </row>
    <row r="6" spans="1:4" x14ac:dyDescent="0.3">
      <c r="A6" s="24" t="s">
        <v>10</v>
      </c>
      <c r="B6" s="25">
        <f>Inputs!$C$7</f>
        <v>1819</v>
      </c>
      <c r="C6" s="25" t="s">
        <v>11</v>
      </c>
      <c r="D6" s="26" t="s">
        <v>126</v>
      </c>
    </row>
    <row r="7" spans="1:4" x14ac:dyDescent="0.3">
      <c r="A7" s="24" t="s">
        <v>18</v>
      </c>
      <c r="B7" s="25">
        <f>Inputs!$C$10</f>
        <v>480</v>
      </c>
      <c r="C7" s="25" t="s">
        <v>19</v>
      </c>
      <c r="D7" s="26" t="s">
        <v>20</v>
      </c>
    </row>
    <row r="8" spans="1:4" x14ac:dyDescent="0.3">
      <c r="A8" s="24" t="s">
        <v>127</v>
      </c>
      <c r="B8" s="25">
        <f>Inputs!$C$7/(Inputs!$C$10/60)</f>
        <v>227.375</v>
      </c>
      <c r="C8" s="25" t="s">
        <v>128</v>
      </c>
      <c r="D8" s="26" t="s">
        <v>129</v>
      </c>
    </row>
    <row r="9" spans="1:4" x14ac:dyDescent="0.3">
      <c r="A9" s="24" t="s">
        <v>26</v>
      </c>
      <c r="B9" s="25">
        <f>Inputs!$C$13</f>
        <v>15.83</v>
      </c>
      <c r="C9" s="25" t="s">
        <v>27</v>
      </c>
      <c r="D9" s="26" t="s">
        <v>130</v>
      </c>
    </row>
    <row r="10" spans="1:4" x14ac:dyDescent="0.3">
      <c r="A10" s="25"/>
      <c r="B10" s="25"/>
      <c r="C10" s="25"/>
      <c r="D10" s="25"/>
    </row>
    <row r="11" spans="1:4" x14ac:dyDescent="0.3">
      <c r="A11" s="29" t="s">
        <v>131</v>
      </c>
      <c r="B11" s="29"/>
      <c r="C11" s="29"/>
      <c r="D11" s="29"/>
    </row>
    <row r="12" spans="1:4" ht="28.8" x14ac:dyDescent="0.3">
      <c r="A12" s="28" t="s">
        <v>132</v>
      </c>
      <c r="B12" s="28" t="s">
        <v>133</v>
      </c>
      <c r="C12" s="28" t="s">
        <v>134</v>
      </c>
      <c r="D12" s="28" t="s">
        <v>135</v>
      </c>
    </row>
    <row r="13" spans="1:4" x14ac:dyDescent="0.3">
      <c r="A13" s="25" t="s">
        <v>136</v>
      </c>
      <c r="B13" s="25">
        <v>1</v>
      </c>
      <c r="C13" s="25">
        <f>B13*Inputs!$C$7</f>
        <v>1819</v>
      </c>
      <c r="D13" s="25"/>
    </row>
    <row r="14" spans="1:4" x14ac:dyDescent="0.3">
      <c r="A14" s="25" t="s">
        <v>137</v>
      </c>
      <c r="B14" s="25">
        <v>1</v>
      </c>
      <c r="C14" s="25">
        <f>B14*Inputs!$C$7</f>
        <v>1819</v>
      </c>
      <c r="D14" s="25"/>
    </row>
    <row r="15" spans="1:4" x14ac:dyDescent="0.3">
      <c r="A15" s="25" t="s">
        <v>138</v>
      </c>
      <c r="B15" s="25">
        <v>2</v>
      </c>
      <c r="C15" s="25">
        <f>B15*Inputs!$C$7</f>
        <v>3638</v>
      </c>
      <c r="D15" s="25">
        <f>C15/Inputs!$C$15</f>
        <v>3829.4736842105267</v>
      </c>
    </row>
    <row r="16" spans="1:4" x14ac:dyDescent="0.3">
      <c r="A16" s="25" t="s">
        <v>139</v>
      </c>
      <c r="B16" s="25">
        <v>1</v>
      </c>
      <c r="C16" s="25">
        <f>B16*Inputs!$C$7</f>
        <v>1819</v>
      </c>
      <c r="D16" s="25">
        <f>C16/Inputs!$C$15</f>
        <v>1914.7368421052633</v>
      </c>
    </row>
    <row r="17" spans="1:4" x14ac:dyDescent="0.3">
      <c r="A17" s="25" t="s">
        <v>140</v>
      </c>
      <c r="B17" s="25">
        <v>1</v>
      </c>
      <c r="C17" s="25">
        <f>B17*Inputs!$C$7</f>
        <v>1819</v>
      </c>
      <c r="D17" s="25">
        <f>C17/Inputs!$C$15</f>
        <v>1914.7368421052633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9"/>
  <sheetViews>
    <sheetView zoomScaleNormal="100" workbookViewId="0">
      <selection activeCell="C20" sqref="C20"/>
    </sheetView>
  </sheetViews>
  <sheetFormatPr defaultColWidth="8.6640625" defaultRowHeight="14.4" x14ac:dyDescent="0.3"/>
  <cols>
    <col min="1" max="1" width="48.88671875" bestFit="1" customWidth="1"/>
    <col min="2" max="2" width="9.33203125" bestFit="1" customWidth="1"/>
    <col min="3" max="3" width="7" bestFit="1" customWidth="1"/>
    <col min="4" max="4" width="6.5546875" bestFit="1" customWidth="1"/>
    <col min="5" max="7" width="12" bestFit="1" customWidth="1"/>
    <col min="8" max="8" width="6.21875" bestFit="1" customWidth="1"/>
    <col min="9" max="9" width="12" bestFit="1" customWidth="1"/>
    <col min="10" max="10" width="8" customWidth="1"/>
    <col min="11" max="11" width="12" bestFit="1" customWidth="1"/>
    <col min="12" max="12" width="8.6640625" bestFit="1" customWidth="1"/>
    <col min="13" max="13" width="8.33203125" bestFit="1" customWidth="1"/>
    <col min="14" max="14" width="6" bestFit="1" customWidth="1"/>
    <col min="15" max="15" width="8.5546875" bestFit="1" customWidth="1"/>
    <col min="16" max="16" width="64.88671875" bestFit="1" customWidth="1"/>
  </cols>
  <sheetData>
    <row r="1" spans="1:16" ht="17.399999999999999" x14ac:dyDescent="0.3">
      <c r="A1" s="27" t="s">
        <v>141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x14ac:dyDescent="0.3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 ht="43.2" x14ac:dyDescent="0.3">
      <c r="A3" s="28" t="s">
        <v>142</v>
      </c>
      <c r="B3" s="28" t="s">
        <v>123</v>
      </c>
      <c r="C3" s="28" t="s">
        <v>143</v>
      </c>
      <c r="D3" s="28" t="s">
        <v>144</v>
      </c>
      <c r="E3" s="28" t="s">
        <v>145</v>
      </c>
      <c r="F3" s="28" t="s">
        <v>146</v>
      </c>
      <c r="G3" s="28" t="s">
        <v>147</v>
      </c>
      <c r="H3" s="28" t="s">
        <v>148</v>
      </c>
      <c r="I3" s="28" t="s">
        <v>149</v>
      </c>
      <c r="J3" s="28" t="s">
        <v>150</v>
      </c>
      <c r="K3" s="28" t="s">
        <v>151</v>
      </c>
      <c r="L3" s="28" t="s">
        <v>152</v>
      </c>
      <c r="M3" s="28" t="s">
        <v>153</v>
      </c>
      <c r="N3" s="28" t="s">
        <v>154</v>
      </c>
      <c r="O3" s="28" t="s">
        <v>155</v>
      </c>
      <c r="P3" s="28" t="s">
        <v>156</v>
      </c>
    </row>
    <row r="4" spans="1:16" x14ac:dyDescent="0.3">
      <c r="A4" s="30" t="s">
        <v>157</v>
      </c>
      <c r="B4" s="30" t="s">
        <v>158</v>
      </c>
      <c r="C4" s="25">
        <v>2</v>
      </c>
      <c r="D4" s="25" t="s">
        <v>159</v>
      </c>
      <c r="E4" s="30">
        <f>Inputs!$C$7*C4</f>
        <v>3638</v>
      </c>
      <c r="F4" s="30">
        <f>IF(D4="Yes",1/Inputs!$C$15,1)</f>
        <v>1.0526315789473684</v>
      </c>
      <c r="G4" s="30">
        <f t="shared" ref="G4:G17" si="0">E4*F4</f>
        <v>3829.4736842105262</v>
      </c>
      <c r="H4" s="30">
        <f>Inputs!$C$16</f>
        <v>1</v>
      </c>
      <c r="I4" s="30">
        <f t="shared" ref="I4:I17" si="1">G4/H4</f>
        <v>3829.4736842105262</v>
      </c>
      <c r="J4" s="30">
        <v>15</v>
      </c>
      <c r="K4" s="30">
        <f t="shared" ref="K4:K17" si="2">I4*J4/60</f>
        <v>957.36842105263156</v>
      </c>
      <c r="L4" s="30">
        <f>Inputs!$C$12</f>
        <v>480</v>
      </c>
      <c r="M4" s="31">
        <f t="shared" ref="M4:M17" si="3">ROUNDUP(K4/L4,0)</f>
        <v>2</v>
      </c>
      <c r="N4" s="32">
        <f t="shared" ref="N4:N17" si="4">K4/(M4*L4)</f>
        <v>0.99725877192982459</v>
      </c>
      <c r="O4" s="30">
        <f>M4*Inputs!$C$17</f>
        <v>2</v>
      </c>
      <c r="P4" s="33" t="s">
        <v>160</v>
      </c>
    </row>
    <row r="5" spans="1:16" x14ac:dyDescent="0.3">
      <c r="A5" s="25" t="s">
        <v>161</v>
      </c>
      <c r="B5" s="25" t="s">
        <v>162</v>
      </c>
      <c r="C5" s="25">
        <v>1</v>
      </c>
      <c r="D5" s="25" t="s">
        <v>163</v>
      </c>
      <c r="E5" s="25">
        <f>$G$4/$C$4</f>
        <v>1914.7368421052631</v>
      </c>
      <c r="F5" s="25">
        <f>IF(D5="Yes",1/Inputs!$C$15,1)</f>
        <v>1</v>
      </c>
      <c r="G5" s="25">
        <f t="shared" si="0"/>
        <v>1914.7368421052631</v>
      </c>
      <c r="H5" s="25" t="s">
        <v>164</v>
      </c>
      <c r="I5" s="25">
        <f t="shared" si="1"/>
        <v>1914.7368421052631</v>
      </c>
      <c r="J5" s="25">
        <v>20</v>
      </c>
      <c r="K5" s="25">
        <f t="shared" si="2"/>
        <v>638.24561403508767</v>
      </c>
      <c r="L5" s="25">
        <f>Inputs!$C$12</f>
        <v>480</v>
      </c>
      <c r="M5" s="24">
        <f t="shared" si="3"/>
        <v>2</v>
      </c>
      <c r="N5" s="34">
        <f t="shared" si="4"/>
        <v>0.66483918128654962</v>
      </c>
      <c r="O5" s="25">
        <f>M5*Inputs!$C$17</f>
        <v>2</v>
      </c>
      <c r="P5" s="26" t="s">
        <v>366</v>
      </c>
    </row>
    <row r="6" spans="1:16" x14ac:dyDescent="0.3">
      <c r="A6" s="30" t="s">
        <v>165</v>
      </c>
      <c r="B6" s="30" t="s">
        <v>162</v>
      </c>
      <c r="C6" s="25">
        <v>1</v>
      </c>
      <c r="D6" s="25" t="s">
        <v>163</v>
      </c>
      <c r="E6" s="30">
        <f>$G$4/$C$4</f>
        <v>1914.7368421052631</v>
      </c>
      <c r="F6" s="30">
        <f>IF(D6="Yes",1/Inputs!$C$15,1)</f>
        <v>1</v>
      </c>
      <c r="G6" s="30">
        <f t="shared" si="0"/>
        <v>1914.7368421052631</v>
      </c>
      <c r="H6" s="30" t="s">
        <v>164</v>
      </c>
      <c r="I6" s="30">
        <f t="shared" si="1"/>
        <v>1914.7368421052631</v>
      </c>
      <c r="J6" s="30">
        <v>5</v>
      </c>
      <c r="K6" s="30">
        <f t="shared" si="2"/>
        <v>159.56140350877192</v>
      </c>
      <c r="L6" s="30">
        <f>Inputs!$C$12</f>
        <v>480</v>
      </c>
      <c r="M6" s="31">
        <f t="shared" si="3"/>
        <v>1</v>
      </c>
      <c r="N6" s="32">
        <f t="shared" si="4"/>
        <v>0.33241959064327481</v>
      </c>
      <c r="O6" s="30">
        <f>M6*Inputs!$C$17</f>
        <v>1</v>
      </c>
      <c r="P6" s="33" t="s">
        <v>366</v>
      </c>
    </row>
    <row r="7" spans="1:16" x14ac:dyDescent="0.3">
      <c r="A7" s="25" t="s">
        <v>166</v>
      </c>
      <c r="B7" s="25" t="s">
        <v>162</v>
      </c>
      <c r="C7" s="25">
        <v>1</v>
      </c>
      <c r="D7" s="25" t="s">
        <v>163</v>
      </c>
      <c r="E7" s="25">
        <f>$G$4/$C$4</f>
        <v>1914.7368421052631</v>
      </c>
      <c r="F7" s="25">
        <f>IF(D7="Yes",1/Inputs!$C$15,1)</f>
        <v>1</v>
      </c>
      <c r="G7" s="25">
        <f t="shared" si="0"/>
        <v>1914.7368421052631</v>
      </c>
      <c r="H7" s="25" t="s">
        <v>164</v>
      </c>
      <c r="I7" s="25">
        <f t="shared" si="1"/>
        <v>1914.7368421052631</v>
      </c>
      <c r="J7" s="25">
        <v>60</v>
      </c>
      <c r="K7" s="25">
        <f t="shared" si="2"/>
        <v>1914.7368421052631</v>
      </c>
      <c r="L7" s="25">
        <f>Inputs!$C$12</f>
        <v>480</v>
      </c>
      <c r="M7" s="24">
        <f t="shared" si="3"/>
        <v>4</v>
      </c>
      <c r="N7" s="34">
        <f t="shared" si="4"/>
        <v>0.99725877192982459</v>
      </c>
      <c r="O7" s="25">
        <f>M7*Inputs!$C$17</f>
        <v>4</v>
      </c>
      <c r="P7" s="26" t="s">
        <v>367</v>
      </c>
    </row>
    <row r="8" spans="1:16" x14ac:dyDescent="0.3">
      <c r="A8" s="30" t="s">
        <v>167</v>
      </c>
      <c r="B8" s="30" t="s">
        <v>168</v>
      </c>
      <c r="C8" s="25">
        <v>1</v>
      </c>
      <c r="D8" s="25" t="s">
        <v>159</v>
      </c>
      <c r="E8" s="30">
        <f>Inputs!$C$7*C8</f>
        <v>1819</v>
      </c>
      <c r="F8" s="30">
        <f>IF(D8="Yes",1/Inputs!$C$15,1)</f>
        <v>1.0526315789473684</v>
      </c>
      <c r="G8" s="30">
        <f t="shared" si="0"/>
        <v>1914.7368421052631</v>
      </c>
      <c r="H8" s="30" t="s">
        <v>164</v>
      </c>
      <c r="I8" s="30">
        <f t="shared" si="1"/>
        <v>1914.7368421052631</v>
      </c>
      <c r="J8" s="30">
        <v>2</v>
      </c>
      <c r="K8" s="30">
        <f t="shared" si="2"/>
        <v>63.824561403508774</v>
      </c>
      <c r="L8" s="30">
        <f>Inputs!$C$12</f>
        <v>480</v>
      </c>
      <c r="M8" s="31">
        <f t="shared" si="3"/>
        <v>1</v>
      </c>
      <c r="N8" s="32">
        <f t="shared" si="4"/>
        <v>0.13296783625730996</v>
      </c>
      <c r="O8" s="30">
        <f>M8*Inputs!$C$17</f>
        <v>1</v>
      </c>
      <c r="P8" s="33" t="s">
        <v>169</v>
      </c>
    </row>
    <row r="9" spans="1:16" x14ac:dyDescent="0.3">
      <c r="A9" s="25" t="s">
        <v>170</v>
      </c>
      <c r="B9" s="25" t="s">
        <v>171</v>
      </c>
      <c r="C9" s="25">
        <v>1</v>
      </c>
      <c r="D9" s="25" t="s">
        <v>163</v>
      </c>
      <c r="E9" s="25">
        <f>Inputs!$C$7*C9</f>
        <v>1819</v>
      </c>
      <c r="F9" s="25">
        <f>IF(D9="Yes",1/Inputs!$C$15,1)</f>
        <v>1</v>
      </c>
      <c r="G9" s="25">
        <f t="shared" si="0"/>
        <v>1819</v>
      </c>
      <c r="H9" s="25" t="s">
        <v>164</v>
      </c>
      <c r="I9" s="25">
        <f t="shared" si="1"/>
        <v>1819</v>
      </c>
      <c r="J9" s="25">
        <v>2</v>
      </c>
      <c r="K9" s="25">
        <f t="shared" si="2"/>
        <v>60.633333333333333</v>
      </c>
      <c r="L9" s="25">
        <f>Inputs!$C$12</f>
        <v>480</v>
      </c>
      <c r="M9" s="24">
        <f t="shared" si="3"/>
        <v>1</v>
      </c>
      <c r="N9" s="34">
        <f t="shared" si="4"/>
        <v>0.12631944444444446</v>
      </c>
      <c r="O9" s="25">
        <f>M9*Inputs!$C$17</f>
        <v>1</v>
      </c>
      <c r="P9" s="26" t="s">
        <v>124</v>
      </c>
    </row>
    <row r="10" spans="1:16" x14ac:dyDescent="0.3">
      <c r="A10" s="30" t="s">
        <v>172</v>
      </c>
      <c r="B10" s="30" t="s">
        <v>173</v>
      </c>
      <c r="C10" s="25">
        <v>1</v>
      </c>
      <c r="D10" s="25" t="s">
        <v>163</v>
      </c>
      <c r="E10" s="30">
        <f>Inputs!$C$7*C10</f>
        <v>1819</v>
      </c>
      <c r="F10" s="30">
        <f>IF(D10="Yes",1/Inputs!$C$15,1)</f>
        <v>1</v>
      </c>
      <c r="G10" s="30">
        <f t="shared" si="0"/>
        <v>1819</v>
      </c>
      <c r="H10" s="30" t="s">
        <v>164</v>
      </c>
      <c r="I10" s="30">
        <f t="shared" si="1"/>
        <v>1819</v>
      </c>
      <c r="J10" s="30">
        <v>120</v>
      </c>
      <c r="K10" s="30">
        <f t="shared" si="2"/>
        <v>3638</v>
      </c>
      <c r="L10" s="30">
        <f>Inputs!$C$12</f>
        <v>480</v>
      </c>
      <c r="M10" s="31">
        <f t="shared" si="3"/>
        <v>8</v>
      </c>
      <c r="N10" s="32">
        <f t="shared" si="4"/>
        <v>0.94739583333333333</v>
      </c>
      <c r="O10" s="30">
        <f>M10*Inputs!$C$17</f>
        <v>8</v>
      </c>
      <c r="P10" s="33" t="s">
        <v>174</v>
      </c>
    </row>
    <row r="11" spans="1:16" x14ac:dyDescent="0.3">
      <c r="A11" s="25" t="s">
        <v>175</v>
      </c>
      <c r="B11" s="25" t="s">
        <v>173</v>
      </c>
      <c r="C11" s="25">
        <v>1</v>
      </c>
      <c r="D11" s="25" t="s">
        <v>163</v>
      </c>
      <c r="E11" s="25">
        <f>Inputs!$C$7*C11</f>
        <v>1819</v>
      </c>
      <c r="F11" s="25">
        <f>IF(D11="Yes",1/Inputs!$C$15,1)</f>
        <v>1</v>
      </c>
      <c r="G11" s="25">
        <f t="shared" si="0"/>
        <v>1819</v>
      </c>
      <c r="H11" s="25" t="s">
        <v>164</v>
      </c>
      <c r="I11" s="25">
        <f t="shared" si="1"/>
        <v>1819</v>
      </c>
      <c r="J11" s="25">
        <v>60</v>
      </c>
      <c r="K11" s="25">
        <f t="shared" si="2"/>
        <v>1819</v>
      </c>
      <c r="L11" s="25">
        <f>Inputs!$C$12</f>
        <v>480</v>
      </c>
      <c r="M11" s="24">
        <f t="shared" si="3"/>
        <v>4</v>
      </c>
      <c r="N11" s="34">
        <f t="shared" si="4"/>
        <v>0.94739583333333333</v>
      </c>
      <c r="O11" s="25">
        <f>M11*Inputs!$C$17</f>
        <v>4</v>
      </c>
      <c r="P11" s="26" t="s">
        <v>124</v>
      </c>
    </row>
    <row r="12" spans="1:16" x14ac:dyDescent="0.3">
      <c r="A12" s="30" t="s">
        <v>176</v>
      </c>
      <c r="B12" s="30" t="s">
        <v>168</v>
      </c>
      <c r="C12" s="25">
        <v>1</v>
      </c>
      <c r="D12" s="25" t="s">
        <v>159</v>
      </c>
      <c r="E12" s="30">
        <f>Inputs!$C$7*C12</f>
        <v>1819</v>
      </c>
      <c r="F12" s="30">
        <f>IF(D12="Yes",1/Inputs!$C$15,1)</f>
        <v>1.0526315789473684</v>
      </c>
      <c r="G12" s="30">
        <f t="shared" si="0"/>
        <v>1914.7368421052631</v>
      </c>
      <c r="H12" s="30" t="s">
        <v>164</v>
      </c>
      <c r="I12" s="30">
        <f t="shared" si="1"/>
        <v>1914.7368421052631</v>
      </c>
      <c r="J12" s="30">
        <v>2</v>
      </c>
      <c r="K12" s="30">
        <f t="shared" si="2"/>
        <v>63.824561403508774</v>
      </c>
      <c r="L12" s="30">
        <f>Inputs!$C$12</f>
        <v>480</v>
      </c>
      <c r="M12" s="31">
        <f t="shared" si="3"/>
        <v>1</v>
      </c>
      <c r="N12" s="32">
        <f t="shared" si="4"/>
        <v>0.13296783625730996</v>
      </c>
      <c r="O12" s="30">
        <f>M12*Inputs!$C$17</f>
        <v>1</v>
      </c>
      <c r="P12" s="33" t="s">
        <v>169</v>
      </c>
    </row>
    <row r="13" spans="1:16" x14ac:dyDescent="0.3">
      <c r="A13" s="25" t="s">
        <v>177</v>
      </c>
      <c r="B13" s="25" t="s">
        <v>168</v>
      </c>
      <c r="C13" s="25">
        <v>1</v>
      </c>
      <c r="D13" s="25" t="s">
        <v>163</v>
      </c>
      <c r="E13" s="25">
        <f>Inputs!$C$7*C13</f>
        <v>1819</v>
      </c>
      <c r="F13" s="25">
        <f>IF(D13="Yes",1/Inputs!$C$15,1)</f>
        <v>1</v>
      </c>
      <c r="G13" s="25">
        <f t="shared" si="0"/>
        <v>1819</v>
      </c>
      <c r="H13" s="25" t="s">
        <v>164</v>
      </c>
      <c r="I13" s="25">
        <f t="shared" si="1"/>
        <v>1819</v>
      </c>
      <c r="J13" s="25">
        <v>5</v>
      </c>
      <c r="K13" s="25">
        <f t="shared" si="2"/>
        <v>151.58333333333334</v>
      </c>
      <c r="L13" s="25">
        <f>Inputs!$C$12</f>
        <v>480</v>
      </c>
      <c r="M13" s="24">
        <f t="shared" si="3"/>
        <v>1</v>
      </c>
      <c r="N13" s="34">
        <f t="shared" si="4"/>
        <v>0.31579861111111113</v>
      </c>
      <c r="O13" s="25">
        <f>M13*Inputs!$C$17</f>
        <v>1</v>
      </c>
      <c r="P13" s="26" t="s">
        <v>124</v>
      </c>
    </row>
    <row r="14" spans="1:16" x14ac:dyDescent="0.3">
      <c r="A14" s="30" t="s">
        <v>178</v>
      </c>
      <c r="B14" s="30" t="s">
        <v>173</v>
      </c>
      <c r="C14" s="25">
        <v>1</v>
      </c>
      <c r="D14" s="25" t="s">
        <v>163</v>
      </c>
      <c r="E14" s="30">
        <f>Inputs!$C$7*C14</f>
        <v>1819</v>
      </c>
      <c r="F14" s="30">
        <f>IF(D14="Yes",1/Inputs!$C$15,1)</f>
        <v>1</v>
      </c>
      <c r="G14" s="30">
        <f t="shared" si="0"/>
        <v>1819</v>
      </c>
      <c r="H14" s="30" t="s">
        <v>164</v>
      </c>
      <c r="I14" s="30">
        <f t="shared" si="1"/>
        <v>1819</v>
      </c>
      <c r="J14" s="30">
        <v>5</v>
      </c>
      <c r="K14" s="30">
        <f t="shared" si="2"/>
        <v>151.58333333333334</v>
      </c>
      <c r="L14" s="30">
        <f>Inputs!$C$12</f>
        <v>480</v>
      </c>
      <c r="M14" s="31">
        <f t="shared" si="3"/>
        <v>1</v>
      </c>
      <c r="N14" s="32">
        <f t="shared" si="4"/>
        <v>0.31579861111111113</v>
      </c>
      <c r="O14" s="30">
        <f>M14*Inputs!$C$17</f>
        <v>1</v>
      </c>
      <c r="P14" s="33" t="s">
        <v>124</v>
      </c>
    </row>
    <row r="15" spans="1:16" x14ac:dyDescent="0.3">
      <c r="A15" s="25" t="s">
        <v>179</v>
      </c>
      <c r="B15" s="25" t="s">
        <v>171</v>
      </c>
      <c r="C15" s="25">
        <v>1</v>
      </c>
      <c r="D15" s="25" t="s">
        <v>163</v>
      </c>
      <c r="E15" s="25">
        <f>Inputs!$C$7*C15</f>
        <v>1819</v>
      </c>
      <c r="F15" s="25">
        <f>IF(D15="Yes",1/Inputs!$C$15,1)</f>
        <v>1</v>
      </c>
      <c r="G15" s="25">
        <f t="shared" si="0"/>
        <v>1819</v>
      </c>
      <c r="H15" s="25" t="s">
        <v>164</v>
      </c>
      <c r="I15" s="25">
        <f t="shared" si="1"/>
        <v>1819</v>
      </c>
      <c r="J15" s="25">
        <v>60</v>
      </c>
      <c r="K15" s="25">
        <f t="shared" si="2"/>
        <v>1819</v>
      </c>
      <c r="L15" s="25">
        <f>Inputs!$C$12</f>
        <v>480</v>
      </c>
      <c r="M15" s="24">
        <f t="shared" si="3"/>
        <v>4</v>
      </c>
      <c r="N15" s="34">
        <f t="shared" si="4"/>
        <v>0.94739583333333333</v>
      </c>
      <c r="O15" s="25">
        <f>M15*Inputs!$C$17</f>
        <v>4</v>
      </c>
      <c r="P15" s="26" t="s">
        <v>124</v>
      </c>
    </row>
    <row r="16" spans="1:16" x14ac:dyDescent="0.3">
      <c r="A16" s="30" t="s">
        <v>180</v>
      </c>
      <c r="B16" s="30" t="s">
        <v>173</v>
      </c>
      <c r="C16" s="25">
        <v>1</v>
      </c>
      <c r="D16" s="25" t="s">
        <v>163</v>
      </c>
      <c r="E16" s="30">
        <f>Inputs!$C$7*C16</f>
        <v>1819</v>
      </c>
      <c r="F16" s="30">
        <f>IF(D16="Yes",1/Inputs!$C$15,1)</f>
        <v>1</v>
      </c>
      <c r="G16" s="30">
        <f t="shared" si="0"/>
        <v>1819</v>
      </c>
      <c r="H16" s="30" t="s">
        <v>164</v>
      </c>
      <c r="I16" s="30">
        <f t="shared" si="1"/>
        <v>1819</v>
      </c>
      <c r="J16" s="30">
        <v>30</v>
      </c>
      <c r="K16" s="30">
        <f t="shared" si="2"/>
        <v>909.5</v>
      </c>
      <c r="L16" s="30">
        <f>Inputs!$C$12</f>
        <v>480</v>
      </c>
      <c r="M16" s="31">
        <f t="shared" si="3"/>
        <v>2</v>
      </c>
      <c r="N16" s="32">
        <f t="shared" si="4"/>
        <v>0.94739583333333333</v>
      </c>
      <c r="O16" s="30">
        <f>M16*Inputs!$C$17</f>
        <v>2</v>
      </c>
      <c r="P16" s="33" t="s">
        <v>124</v>
      </c>
    </row>
    <row r="17" spans="1:16" ht="15" thickBot="1" x14ac:dyDescent="0.35">
      <c r="A17" s="35" t="s">
        <v>181</v>
      </c>
      <c r="B17" s="35" t="s">
        <v>173</v>
      </c>
      <c r="C17" s="35">
        <v>1</v>
      </c>
      <c r="D17" s="35" t="s">
        <v>163</v>
      </c>
      <c r="E17" s="35">
        <f>Inputs!$C$7*C17</f>
        <v>1819</v>
      </c>
      <c r="F17" s="35">
        <f>IF(D17="Yes",1/Inputs!$C$15,1)</f>
        <v>1</v>
      </c>
      <c r="G17" s="35">
        <f t="shared" si="0"/>
        <v>1819</v>
      </c>
      <c r="H17" s="35" t="s">
        <v>164</v>
      </c>
      <c r="I17" s="35">
        <f t="shared" si="1"/>
        <v>1819</v>
      </c>
      <c r="J17" s="35">
        <f>Inputs!$C$18</f>
        <v>30</v>
      </c>
      <c r="K17" s="35">
        <f t="shared" si="2"/>
        <v>909.5</v>
      </c>
      <c r="L17" s="35">
        <f>Inputs!$C$12</f>
        <v>480</v>
      </c>
      <c r="M17" s="36">
        <f t="shared" si="3"/>
        <v>2</v>
      </c>
      <c r="N17" s="37">
        <f t="shared" si="4"/>
        <v>0.94739583333333333</v>
      </c>
      <c r="O17" s="35">
        <f>M17*Inputs!$C$17</f>
        <v>2</v>
      </c>
      <c r="P17" s="38" t="s">
        <v>182</v>
      </c>
    </row>
    <row r="18" spans="1:16" ht="15" thickBot="1" x14ac:dyDescent="0.35">
      <c r="A18" s="41" t="s">
        <v>183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>
        <f>SUM(M4:M17)</f>
        <v>34</v>
      </c>
      <c r="N18" s="41"/>
      <c r="O18" s="41">
        <f>SUM(O4:O17)</f>
        <v>34</v>
      </c>
      <c r="P18" s="41"/>
    </row>
    <row r="19" spans="1:16" x14ac:dyDescent="0.3">
      <c r="A19" s="40" t="s">
        <v>364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2">
        <f>AVERAGE(N4:N17)</f>
        <v>0.62518627297410201</v>
      </c>
      <c r="O19" s="40"/>
      <c r="P19" s="4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zoomScaleNormal="100" workbookViewId="0">
      <selection activeCell="F18" sqref="F18"/>
    </sheetView>
  </sheetViews>
  <sheetFormatPr defaultColWidth="8.6640625" defaultRowHeight="14.4" x14ac:dyDescent="0.3"/>
  <cols>
    <col min="1" max="1" width="74.77734375" bestFit="1" customWidth="1"/>
    <col min="2" max="2" width="6" bestFit="1" customWidth="1"/>
    <col min="3" max="3" width="9.109375" bestFit="1" customWidth="1"/>
  </cols>
  <sheetData>
    <row r="1" spans="1:3" ht="17.399999999999999" x14ac:dyDescent="0.3">
      <c r="A1" s="27" t="s">
        <v>184</v>
      </c>
      <c r="B1" s="27"/>
      <c r="C1" s="27"/>
    </row>
    <row r="2" spans="1:3" x14ac:dyDescent="0.3">
      <c r="A2" s="25"/>
      <c r="B2" s="25"/>
      <c r="C2" s="25"/>
    </row>
    <row r="3" spans="1:3" x14ac:dyDescent="0.3">
      <c r="A3" s="29" t="s">
        <v>185</v>
      </c>
      <c r="B3" s="29"/>
      <c r="C3" s="29"/>
    </row>
    <row r="4" spans="1:3" x14ac:dyDescent="0.3">
      <c r="A4" s="25"/>
      <c r="B4" s="25"/>
      <c r="C4" s="25"/>
    </row>
    <row r="5" spans="1:3" x14ac:dyDescent="0.3">
      <c r="A5" s="24" t="s">
        <v>186</v>
      </c>
      <c r="B5" s="25">
        <f>Inputs!$C$7*Inputs!$C$46</f>
        <v>5457</v>
      </c>
      <c r="C5" s="25" t="s">
        <v>187</v>
      </c>
    </row>
    <row r="6" spans="1:3" x14ac:dyDescent="0.3">
      <c r="A6" s="24" t="s">
        <v>188</v>
      </c>
      <c r="B6" s="25">
        <f>Inputs!$C$45</f>
        <v>600</v>
      </c>
      <c r="C6" s="25" t="s">
        <v>92</v>
      </c>
    </row>
    <row r="7" spans="1:3" x14ac:dyDescent="0.3">
      <c r="A7" s="24" t="s">
        <v>189</v>
      </c>
      <c r="B7" s="25">
        <f>B5/B6</f>
        <v>9.0950000000000006</v>
      </c>
      <c r="C7" s="25" t="s">
        <v>190</v>
      </c>
    </row>
    <row r="8" spans="1:3" x14ac:dyDescent="0.3">
      <c r="A8" s="24" t="s">
        <v>191</v>
      </c>
      <c r="B8" s="25">
        <f>Inputs!$C$12/60</f>
        <v>8</v>
      </c>
      <c r="C8" s="25" t="s">
        <v>89</v>
      </c>
    </row>
    <row r="9" spans="1:3" x14ac:dyDescent="0.3">
      <c r="A9" s="24" t="s">
        <v>192</v>
      </c>
      <c r="B9" s="24">
        <f>ROUNDUP(B7/B8,0)</f>
        <v>2</v>
      </c>
      <c r="C9" s="25" t="s">
        <v>193</v>
      </c>
    </row>
    <row r="10" spans="1:3" x14ac:dyDescent="0.3">
      <c r="A10" s="26" t="s">
        <v>194</v>
      </c>
      <c r="B10" s="25"/>
      <c r="C10" s="25"/>
    </row>
    <row r="11" spans="1:3" x14ac:dyDescent="0.3">
      <c r="A11" s="25"/>
      <c r="B11" s="25"/>
      <c r="C11" s="25"/>
    </row>
    <row r="12" spans="1:3" x14ac:dyDescent="0.3">
      <c r="A12" s="29" t="s">
        <v>195</v>
      </c>
      <c r="B12" s="29"/>
      <c r="C12" s="29"/>
    </row>
    <row r="13" spans="1:3" x14ac:dyDescent="0.3">
      <c r="A13" s="24" t="s">
        <v>196</v>
      </c>
      <c r="B13" s="25">
        <f>Inputs!$C$7</f>
        <v>1819</v>
      </c>
      <c r="C13" s="25" t="s">
        <v>187</v>
      </c>
    </row>
    <row r="14" spans="1:3" x14ac:dyDescent="0.3">
      <c r="A14" s="24" t="s">
        <v>197</v>
      </c>
      <c r="B14" s="25">
        <f>Inputs!$C$44</f>
        <v>6</v>
      </c>
      <c r="C14" s="25" t="s">
        <v>198</v>
      </c>
    </row>
    <row r="15" spans="1:3" x14ac:dyDescent="0.3">
      <c r="A15" s="24" t="s">
        <v>199</v>
      </c>
      <c r="B15" s="25">
        <v>1</v>
      </c>
      <c r="C15" s="25" t="s">
        <v>200</v>
      </c>
    </row>
    <row r="16" spans="1:3" x14ac:dyDescent="0.3">
      <c r="A16" s="26" t="s">
        <v>201</v>
      </c>
      <c r="B16" s="25"/>
      <c r="C16" s="25"/>
    </row>
    <row r="17" spans="1:3" x14ac:dyDescent="0.3">
      <c r="A17" s="25"/>
      <c r="B17" s="25"/>
      <c r="C17" s="25"/>
    </row>
    <row r="18" spans="1:3" x14ac:dyDescent="0.3">
      <c r="A18" s="29" t="s">
        <v>202</v>
      </c>
      <c r="B18" s="29"/>
      <c r="C18" s="29"/>
    </row>
    <row r="19" spans="1:3" x14ac:dyDescent="0.3">
      <c r="A19" s="24" t="s">
        <v>203</v>
      </c>
      <c r="B19" s="25">
        <f>Inputs!$C$7</f>
        <v>1819</v>
      </c>
      <c r="C19" s="25" t="s">
        <v>187</v>
      </c>
    </row>
    <row r="20" spans="1:3" x14ac:dyDescent="0.3">
      <c r="A20" s="26" t="s">
        <v>204</v>
      </c>
      <c r="B20" s="25"/>
      <c r="C20" s="2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2"/>
  <sheetViews>
    <sheetView zoomScaleNormal="100" workbookViewId="0">
      <selection activeCell="I13" sqref="I13"/>
    </sheetView>
  </sheetViews>
  <sheetFormatPr defaultColWidth="8.6640625" defaultRowHeight="14.4" x14ac:dyDescent="0.3"/>
  <cols>
    <col min="1" max="1" width="29.33203125" bestFit="1" customWidth="1"/>
    <col min="2" max="2" width="14.5546875" bestFit="1" customWidth="1"/>
    <col min="3" max="3" width="11.33203125" bestFit="1" customWidth="1"/>
  </cols>
  <sheetData>
    <row r="1" spans="1:3" ht="17.399999999999999" x14ac:dyDescent="0.3">
      <c r="A1" s="27" t="s">
        <v>205</v>
      </c>
      <c r="B1" s="27"/>
      <c r="C1" s="27"/>
    </row>
    <row r="2" spans="1:3" x14ac:dyDescent="0.3">
      <c r="A2" s="25"/>
      <c r="B2" s="25"/>
      <c r="C2" s="25"/>
    </row>
    <row r="3" spans="1:3" x14ac:dyDescent="0.3">
      <c r="A3" s="29" t="s">
        <v>206</v>
      </c>
      <c r="B3" s="29"/>
      <c r="C3" s="29"/>
    </row>
    <row r="4" spans="1:3" x14ac:dyDescent="0.3">
      <c r="A4" s="24" t="s">
        <v>207</v>
      </c>
      <c r="B4" s="48">
        <f>Inputs!$C$22</f>
        <v>2</v>
      </c>
      <c r="C4" s="25" t="s">
        <v>47</v>
      </c>
    </row>
    <row r="5" spans="1:3" x14ac:dyDescent="0.3">
      <c r="A5" s="24" t="s">
        <v>208</v>
      </c>
      <c r="B5" s="47">
        <f>Inputs!$C$7*B4</f>
        <v>3638</v>
      </c>
      <c r="C5" s="25" t="s">
        <v>209</v>
      </c>
    </row>
    <row r="6" spans="1:3" x14ac:dyDescent="0.3">
      <c r="A6" s="24" t="s">
        <v>210</v>
      </c>
      <c r="B6" s="47">
        <f>B5/Inputs!$C$15</f>
        <v>3829.4736842105267</v>
      </c>
      <c r="C6" s="25" t="s">
        <v>209</v>
      </c>
    </row>
    <row r="7" spans="1:3" x14ac:dyDescent="0.3">
      <c r="A7" s="24" t="s">
        <v>211</v>
      </c>
      <c r="B7" s="48">
        <f>Inputs!$C$21</f>
        <v>43</v>
      </c>
      <c r="C7" s="25" t="s">
        <v>47</v>
      </c>
    </row>
    <row r="8" spans="1:3" x14ac:dyDescent="0.3">
      <c r="A8" s="24" t="s">
        <v>212</v>
      </c>
      <c r="B8" s="49">
        <f>ROUNDUP(B6/B7,0)</f>
        <v>90</v>
      </c>
      <c r="C8" s="25" t="s">
        <v>213</v>
      </c>
    </row>
    <row r="9" spans="1:3" x14ac:dyDescent="0.3">
      <c r="A9" s="24" t="s">
        <v>214</v>
      </c>
      <c r="B9" s="49">
        <f>B8*Inputs!$C$30</f>
        <v>900</v>
      </c>
      <c r="C9" s="25" t="s">
        <v>81</v>
      </c>
    </row>
    <row r="10" spans="1:3" x14ac:dyDescent="0.3">
      <c r="A10" s="25"/>
      <c r="B10" s="48"/>
      <c r="C10" s="25"/>
    </row>
    <row r="11" spans="1:3" x14ac:dyDescent="0.3">
      <c r="A11" s="29" t="s">
        <v>215</v>
      </c>
      <c r="B11" s="50"/>
      <c r="C11" s="29"/>
    </row>
    <row r="12" spans="1:3" x14ac:dyDescent="0.3">
      <c r="A12" s="24" t="s">
        <v>216</v>
      </c>
      <c r="B12" s="48">
        <f>Inputs!$C$23*Inputs!$C$24</f>
        <v>3.125</v>
      </c>
      <c r="C12" s="25" t="s">
        <v>78</v>
      </c>
    </row>
    <row r="13" spans="1:3" x14ac:dyDescent="0.3">
      <c r="A13" s="24" t="s">
        <v>217</v>
      </c>
      <c r="B13" s="48">
        <f>Inputs!$C$26*Inputs!$C$27</f>
        <v>2.3800000000000005E-2</v>
      </c>
      <c r="C13" s="25" t="s">
        <v>78</v>
      </c>
    </row>
    <row r="14" spans="1:3" x14ac:dyDescent="0.3">
      <c r="A14" s="24" t="s">
        <v>218</v>
      </c>
      <c r="B14" s="48">
        <f>Inputs!$C$28*Inputs!$C$29</f>
        <v>4.0000000000000001E-3</v>
      </c>
      <c r="C14" s="25" t="s">
        <v>78</v>
      </c>
    </row>
    <row r="15" spans="1:3" x14ac:dyDescent="0.3">
      <c r="A15" s="24" t="s">
        <v>219</v>
      </c>
      <c r="B15" s="48">
        <f>FLOOR(B12*Inputs!$C$25/B13,1)</f>
        <v>105</v>
      </c>
      <c r="C15" s="25" t="s">
        <v>220</v>
      </c>
    </row>
    <row r="16" spans="1:3" x14ac:dyDescent="0.3">
      <c r="A16" s="24" t="s">
        <v>221</v>
      </c>
      <c r="B16" s="48">
        <f>FLOOR(B12*Inputs!$C$25/B14,1)</f>
        <v>625</v>
      </c>
      <c r="C16" s="25" t="s">
        <v>220</v>
      </c>
    </row>
    <row r="17" spans="1:3" x14ac:dyDescent="0.3">
      <c r="A17" s="24" t="s">
        <v>222</v>
      </c>
      <c r="B17" s="47">
        <f>Inputs!$C$7/Inputs!$C$15</f>
        <v>1914.7368421052633</v>
      </c>
      <c r="C17" s="25" t="s">
        <v>223</v>
      </c>
    </row>
    <row r="18" spans="1:3" x14ac:dyDescent="0.3">
      <c r="A18" s="24" t="s">
        <v>224</v>
      </c>
      <c r="B18" s="47">
        <f>Inputs!$C$7/Inputs!$C$15</f>
        <v>1914.7368421052633</v>
      </c>
      <c r="C18" s="25" t="s">
        <v>223</v>
      </c>
    </row>
    <row r="19" spans="1:3" x14ac:dyDescent="0.3">
      <c r="A19" s="24" t="s">
        <v>225</v>
      </c>
      <c r="B19" s="48">
        <f>ROUNDUP(B17/B15,0)</f>
        <v>19</v>
      </c>
      <c r="C19" s="25" t="s">
        <v>226</v>
      </c>
    </row>
    <row r="20" spans="1:3" ht="15" thickBot="1" x14ac:dyDescent="0.35">
      <c r="A20" s="36" t="s">
        <v>227</v>
      </c>
      <c r="B20" s="51">
        <f>ROUNDUP(B18/B16,0)</f>
        <v>4</v>
      </c>
      <c r="C20" s="35" t="s">
        <v>226</v>
      </c>
    </row>
    <row r="21" spans="1:3" ht="15" thickBot="1" x14ac:dyDescent="0.35">
      <c r="A21" s="41" t="s">
        <v>228</v>
      </c>
      <c r="B21" s="41">
        <f>B19+B20</f>
        <v>23</v>
      </c>
      <c r="C21" s="41" t="s">
        <v>226</v>
      </c>
    </row>
    <row r="22" spans="1:3" x14ac:dyDescent="0.3">
      <c r="A22" s="40" t="s">
        <v>229</v>
      </c>
      <c r="B22" s="40">
        <f>B21*Inputs!$C$30</f>
        <v>230</v>
      </c>
      <c r="C22" s="40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"/>
  <sheetViews>
    <sheetView zoomScaleNormal="100" workbookViewId="0">
      <selection activeCell="A10" sqref="A9:A10"/>
    </sheetView>
  </sheetViews>
  <sheetFormatPr defaultColWidth="8.6640625" defaultRowHeight="14.4" x14ac:dyDescent="0.3"/>
  <cols>
    <col min="1" max="1" width="43.77734375" bestFit="1" customWidth="1"/>
    <col min="2" max="2" width="6" bestFit="1" customWidth="1"/>
    <col min="3" max="3" width="10.88671875" bestFit="1" customWidth="1"/>
  </cols>
  <sheetData>
    <row r="1" spans="1:3" ht="17.399999999999999" x14ac:dyDescent="0.3">
      <c r="A1" s="27" t="s">
        <v>230</v>
      </c>
      <c r="B1" s="27"/>
      <c r="C1" s="27"/>
    </row>
    <row r="2" spans="1:3" x14ac:dyDescent="0.3">
      <c r="A2" s="25"/>
      <c r="B2" s="25"/>
      <c r="C2" s="25"/>
    </row>
    <row r="3" spans="1:3" x14ac:dyDescent="0.3">
      <c r="A3" s="29" t="s">
        <v>231</v>
      </c>
      <c r="B3" s="29"/>
      <c r="C3" s="29"/>
    </row>
    <row r="4" spans="1:3" x14ac:dyDescent="0.3">
      <c r="A4" s="24" t="s">
        <v>232</v>
      </c>
      <c r="B4" s="25">
        <f>Inputs!$C$30*Inputs!$C$7</f>
        <v>18190</v>
      </c>
      <c r="C4" s="25" t="s">
        <v>69</v>
      </c>
    </row>
    <row r="5" spans="1:3" x14ac:dyDescent="0.3">
      <c r="A5" s="24" t="s">
        <v>233</v>
      </c>
      <c r="B5" s="25">
        <f>Inputs!$C$31*Inputs!$C$7</f>
        <v>36380</v>
      </c>
      <c r="C5" s="25" t="s">
        <v>69</v>
      </c>
    </row>
    <row r="6" spans="1:3" x14ac:dyDescent="0.3">
      <c r="A6" s="24" t="s">
        <v>234</v>
      </c>
      <c r="B6" s="25">
        <f>Inputs!$C$32*Inputs!$C$7</f>
        <v>1819</v>
      </c>
      <c r="C6" s="25" t="s">
        <v>69</v>
      </c>
    </row>
    <row r="7" spans="1:3" x14ac:dyDescent="0.3">
      <c r="A7" s="25"/>
      <c r="B7" s="25"/>
      <c r="C7" s="25"/>
    </row>
    <row r="8" spans="1:3" x14ac:dyDescent="0.3">
      <c r="A8" s="29" t="s">
        <v>235</v>
      </c>
      <c r="B8" s="29"/>
      <c r="C8" s="29"/>
    </row>
    <row r="9" spans="1:3" x14ac:dyDescent="0.3">
      <c r="A9" s="24" t="s">
        <v>68</v>
      </c>
      <c r="B9" s="25">
        <f>Inputs!$C$33</f>
        <v>8</v>
      </c>
      <c r="C9" s="25" t="s">
        <v>69</v>
      </c>
    </row>
    <row r="10" spans="1:3" x14ac:dyDescent="0.3">
      <c r="A10" s="24" t="s">
        <v>70</v>
      </c>
      <c r="B10" s="25">
        <f>Inputs!$C$34</f>
        <v>45</v>
      </c>
      <c r="C10" s="25" t="s">
        <v>71</v>
      </c>
    </row>
    <row r="11" spans="1:3" x14ac:dyDescent="0.3">
      <c r="A11" s="24" t="s">
        <v>72</v>
      </c>
      <c r="B11" s="25">
        <f>Inputs!$C$35</f>
        <v>360</v>
      </c>
      <c r="C11" s="25" t="s">
        <v>69</v>
      </c>
    </row>
    <row r="12" spans="1:3" x14ac:dyDescent="0.3">
      <c r="A12" s="24" t="s">
        <v>236</v>
      </c>
      <c r="B12" s="25">
        <f>ROUNDUP(Inputs!$C$7/Inputs!$C$33,0)</f>
        <v>228</v>
      </c>
      <c r="C12" s="25" t="s">
        <v>237</v>
      </c>
    </row>
    <row r="13" spans="1:3" x14ac:dyDescent="0.3">
      <c r="A13" s="24" t="s">
        <v>238</v>
      </c>
      <c r="B13" s="24">
        <f>ROUNDUP(Inputs!$C$7/Inputs!$C$35,0)</f>
        <v>6</v>
      </c>
      <c r="C13" s="25" t="s">
        <v>239</v>
      </c>
    </row>
    <row r="14" spans="1:3" x14ac:dyDescent="0.3">
      <c r="A14" s="24" t="s">
        <v>240</v>
      </c>
      <c r="B14" s="25">
        <f>Inputs!$C$35</f>
        <v>360</v>
      </c>
      <c r="C14" s="25" t="s">
        <v>241</v>
      </c>
    </row>
    <row r="15" spans="1:3" x14ac:dyDescent="0.3">
      <c r="A15" s="24" t="s">
        <v>242</v>
      </c>
      <c r="B15" s="25" t="s">
        <v>365</v>
      </c>
      <c r="C15" s="25" t="s">
        <v>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zoomScaleNormal="100" workbookViewId="0">
      <selection activeCell="E14" sqref="E14"/>
    </sheetView>
  </sheetViews>
  <sheetFormatPr defaultColWidth="8.6640625" defaultRowHeight="14.4" x14ac:dyDescent="0.3"/>
  <cols>
    <col min="1" max="1" width="30.21875" bestFit="1" customWidth="1"/>
    <col min="2" max="2" width="5.6640625" bestFit="1" customWidth="1"/>
    <col min="3" max="3" width="14.33203125" bestFit="1" customWidth="1"/>
    <col min="4" max="4" width="13.88671875" bestFit="1" customWidth="1"/>
    <col min="5" max="5" width="16.6640625" bestFit="1" customWidth="1"/>
  </cols>
  <sheetData>
    <row r="1" spans="1:5" ht="17.399999999999999" x14ac:dyDescent="0.3">
      <c r="A1" s="27" t="s">
        <v>243</v>
      </c>
      <c r="B1" s="27"/>
      <c r="C1" s="27"/>
      <c r="D1" s="27"/>
      <c r="E1" s="27"/>
    </row>
    <row r="2" spans="1:5" x14ac:dyDescent="0.3">
      <c r="A2" s="25"/>
      <c r="B2" s="25"/>
      <c r="C2" s="25"/>
      <c r="D2" s="25"/>
      <c r="E2" s="25"/>
    </row>
    <row r="3" spans="1:5" x14ac:dyDescent="0.3">
      <c r="A3" s="28" t="s">
        <v>244</v>
      </c>
      <c r="B3" s="28" t="s">
        <v>245</v>
      </c>
      <c r="C3" s="28" t="s">
        <v>246</v>
      </c>
      <c r="D3" s="28" t="s">
        <v>247</v>
      </c>
      <c r="E3" s="28" t="s">
        <v>123</v>
      </c>
    </row>
    <row r="4" spans="1:5" x14ac:dyDescent="0.3">
      <c r="A4" s="24" t="s">
        <v>248</v>
      </c>
      <c r="B4" s="25">
        <f>RawMaterials!B9</f>
        <v>900</v>
      </c>
      <c r="C4" s="25">
        <f>ROUNDUP(RawMaterials!B9/Inputs!$C$40,0)</f>
        <v>5</v>
      </c>
      <c r="D4" s="24">
        <f>C4*Inputs!$C$41*Inputs!$C$43</f>
        <v>37.5</v>
      </c>
      <c r="E4" s="26" t="s">
        <v>249</v>
      </c>
    </row>
    <row r="5" spans="1:5" x14ac:dyDescent="0.3">
      <c r="A5" s="24" t="s">
        <v>250</v>
      </c>
      <c r="B5" s="25">
        <f>RawMaterials!B22</f>
        <v>230</v>
      </c>
      <c r="C5" s="25">
        <f>ROUNDUP(RawMaterials!B22/Inputs!$C$42,0)</f>
        <v>2</v>
      </c>
      <c r="D5" s="24">
        <f>C5*(Inputs!$C$23*Inputs!$C$24)*Inputs!$C$43</f>
        <v>9.375</v>
      </c>
      <c r="E5" s="26" t="s">
        <v>251</v>
      </c>
    </row>
    <row r="6" spans="1:5" x14ac:dyDescent="0.3">
      <c r="A6" s="24" t="s">
        <v>252</v>
      </c>
      <c r="B6" s="25">
        <f>ROUNDUP(Inventory_Pack!B5/Inputs!$C$35,0)</f>
        <v>102</v>
      </c>
      <c r="C6" s="25">
        <f>ROUNDUP(B6/Inputs!$C$39,0)</f>
        <v>26</v>
      </c>
      <c r="D6" s="24">
        <f>C6*Inputs!$C$38*Inputs!$C$43</f>
        <v>46.8</v>
      </c>
      <c r="E6" s="26" t="s">
        <v>253</v>
      </c>
    </row>
    <row r="7" spans="1:5" x14ac:dyDescent="0.3">
      <c r="A7" s="24" t="s">
        <v>254</v>
      </c>
      <c r="B7" s="25">
        <f>ROUNDUP(Inventory_Pack!B6/Inputs!$C$35,0)</f>
        <v>6</v>
      </c>
      <c r="C7" s="25">
        <f>ROUNDUP(B7/Inputs!$C$39,0)</f>
        <v>2</v>
      </c>
      <c r="D7" s="24">
        <f>C7*Inputs!$C$38*Inputs!$C$43</f>
        <v>3.5999999999999996</v>
      </c>
      <c r="E7" s="26" t="s">
        <v>255</v>
      </c>
    </row>
    <row r="8" spans="1:5" ht="15" thickBot="1" x14ac:dyDescent="0.35">
      <c r="A8" s="36" t="s">
        <v>256</v>
      </c>
      <c r="B8" s="35" t="s">
        <v>37</v>
      </c>
      <c r="C8" s="35" t="s">
        <v>37</v>
      </c>
      <c r="D8" s="36">
        <f>Inputs!$C$52</f>
        <v>30</v>
      </c>
      <c r="E8" s="38" t="s">
        <v>55</v>
      </c>
    </row>
    <row r="9" spans="1:5" x14ac:dyDescent="0.3">
      <c r="A9" s="40" t="s">
        <v>257</v>
      </c>
      <c r="B9" s="40"/>
      <c r="C9" s="40"/>
      <c r="D9" s="40">
        <f>SUM(D4:D8)</f>
        <v>127.27499999999999</v>
      </c>
      <c r="E9" s="4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8"/>
  <sheetViews>
    <sheetView zoomScaleNormal="100" workbookViewId="0"/>
  </sheetViews>
  <sheetFormatPr defaultColWidth="8.6640625" defaultRowHeight="14.4" x14ac:dyDescent="0.3"/>
  <cols>
    <col min="1" max="1" width="31.88671875" bestFit="1" customWidth="1"/>
    <col min="2" max="2" width="7.88671875" bestFit="1" customWidth="1"/>
    <col min="3" max="3" width="41.109375" bestFit="1" customWidth="1"/>
  </cols>
  <sheetData>
    <row r="1" spans="1:3" ht="17.399999999999999" x14ac:dyDescent="0.3">
      <c r="A1" s="27" t="s">
        <v>258</v>
      </c>
      <c r="B1" s="27"/>
      <c r="C1" s="27"/>
    </row>
    <row r="2" spans="1:3" x14ac:dyDescent="0.3">
      <c r="A2" s="25"/>
      <c r="B2" s="25"/>
      <c r="C2" s="25"/>
    </row>
    <row r="3" spans="1:3" x14ac:dyDescent="0.3">
      <c r="A3" s="28" t="s">
        <v>259</v>
      </c>
      <c r="B3" s="28" t="s">
        <v>260</v>
      </c>
      <c r="C3" s="28" t="s">
        <v>156</v>
      </c>
    </row>
    <row r="4" spans="1:3" x14ac:dyDescent="0.3">
      <c r="A4" s="25" t="s">
        <v>261</v>
      </c>
      <c r="B4" s="25">
        <v>1</v>
      </c>
      <c r="C4" s="26" t="s">
        <v>124</v>
      </c>
    </row>
    <row r="5" spans="1:3" x14ac:dyDescent="0.3">
      <c r="A5" s="25" t="s">
        <v>262</v>
      </c>
      <c r="B5" s="25">
        <v>1</v>
      </c>
      <c r="C5" s="26" t="s">
        <v>124</v>
      </c>
    </row>
    <row r="6" spans="1:3" x14ac:dyDescent="0.3">
      <c r="A6" s="25" t="s">
        <v>263</v>
      </c>
      <c r="B6" s="25">
        <v>1</v>
      </c>
      <c r="C6" s="26" t="s">
        <v>124</v>
      </c>
    </row>
    <row r="7" spans="1:3" x14ac:dyDescent="0.3">
      <c r="A7" s="25" t="s">
        <v>264</v>
      </c>
      <c r="B7" s="25">
        <v>1</v>
      </c>
      <c r="C7" s="26" t="s">
        <v>124</v>
      </c>
    </row>
    <row r="8" spans="1:3" x14ac:dyDescent="0.3">
      <c r="A8" s="25" t="s">
        <v>265</v>
      </c>
      <c r="B8" s="25">
        <v>1</v>
      </c>
      <c r="C8" s="26" t="s">
        <v>124</v>
      </c>
    </row>
    <row r="9" spans="1:3" x14ac:dyDescent="0.3">
      <c r="A9" s="25" t="s">
        <v>266</v>
      </c>
      <c r="B9" s="25">
        <v>2</v>
      </c>
      <c r="C9" s="26" t="s">
        <v>267</v>
      </c>
    </row>
    <row r="10" spans="1:3" x14ac:dyDescent="0.3">
      <c r="A10" s="25" t="s">
        <v>268</v>
      </c>
      <c r="B10" s="25">
        <v>1</v>
      </c>
      <c r="C10" s="26" t="s">
        <v>124</v>
      </c>
    </row>
    <row r="11" spans="1:3" x14ac:dyDescent="0.3">
      <c r="A11" s="25" t="s">
        <v>269</v>
      </c>
      <c r="B11" s="25">
        <v>1</v>
      </c>
      <c r="C11" s="26" t="s">
        <v>124</v>
      </c>
    </row>
    <row r="12" spans="1:3" x14ac:dyDescent="0.3">
      <c r="A12" s="25" t="s">
        <v>270</v>
      </c>
      <c r="B12" s="25">
        <v>1</v>
      </c>
      <c r="C12" s="26" t="s">
        <v>124</v>
      </c>
    </row>
    <row r="13" spans="1:3" x14ac:dyDescent="0.3">
      <c r="A13" s="25" t="s">
        <v>271</v>
      </c>
      <c r="B13" s="25">
        <v>3</v>
      </c>
      <c r="C13" s="26" t="s">
        <v>272</v>
      </c>
    </row>
    <row r="14" spans="1:3" x14ac:dyDescent="0.3">
      <c r="A14" s="25" t="s">
        <v>273</v>
      </c>
      <c r="B14" s="25">
        <v>2</v>
      </c>
      <c r="C14" s="26" t="s">
        <v>55</v>
      </c>
    </row>
    <row r="15" spans="1:3" x14ac:dyDescent="0.3">
      <c r="A15" s="25" t="s">
        <v>274</v>
      </c>
      <c r="B15" s="25">
        <v>4</v>
      </c>
      <c r="C15" s="26" t="s">
        <v>55</v>
      </c>
    </row>
    <row r="16" spans="1:3" x14ac:dyDescent="0.3">
      <c r="A16" s="25" t="s">
        <v>275</v>
      </c>
      <c r="B16" s="25">
        <v>5</v>
      </c>
      <c r="C16" s="26" t="s">
        <v>276</v>
      </c>
    </row>
    <row r="17" spans="1:3" ht="15" thickBot="1" x14ac:dyDescent="0.35">
      <c r="A17" s="35" t="s">
        <v>277</v>
      </c>
      <c r="B17" s="35">
        <f>Capacity!O18</f>
        <v>34</v>
      </c>
      <c r="C17" s="38" t="s">
        <v>278</v>
      </c>
    </row>
    <row r="18" spans="1:3" x14ac:dyDescent="0.3">
      <c r="A18" s="40" t="s">
        <v>279</v>
      </c>
      <c r="B18" s="40">
        <f>SUM(B4:B17)</f>
        <v>58</v>
      </c>
      <c r="C18" s="4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"/>
  <sheetViews>
    <sheetView topLeftCell="A3" zoomScaleNormal="100" workbookViewId="0">
      <selection activeCell="G9" sqref="G9"/>
    </sheetView>
  </sheetViews>
  <sheetFormatPr defaultColWidth="8.6640625" defaultRowHeight="14.4" x14ac:dyDescent="0.3"/>
  <cols>
    <col min="1" max="1" width="35.5546875" bestFit="1" customWidth="1"/>
    <col min="2" max="2" width="5" bestFit="1" customWidth="1"/>
    <col min="3" max="3" width="6.5546875" bestFit="1" customWidth="1"/>
  </cols>
  <sheetData>
    <row r="1" spans="1:3" ht="17.399999999999999" x14ac:dyDescent="0.3">
      <c r="A1" s="27" t="s">
        <v>280</v>
      </c>
      <c r="B1" s="27"/>
      <c r="C1" s="27"/>
    </row>
    <row r="2" spans="1:3" x14ac:dyDescent="0.3">
      <c r="A2" s="25"/>
      <c r="B2" s="25"/>
      <c r="C2" s="25"/>
    </row>
    <row r="3" spans="1:3" x14ac:dyDescent="0.3">
      <c r="A3" s="24" t="s">
        <v>281</v>
      </c>
      <c r="B3" s="25">
        <f>Personnel!B18</f>
        <v>58</v>
      </c>
      <c r="C3" s="25" t="s">
        <v>282</v>
      </c>
    </row>
    <row r="4" spans="1:3" x14ac:dyDescent="0.3">
      <c r="A4" s="24" t="s">
        <v>283</v>
      </c>
      <c r="B4" s="25">
        <f>B3*Inputs!$C$56</f>
        <v>58</v>
      </c>
      <c r="C4" s="25" t="s">
        <v>114</v>
      </c>
    </row>
    <row r="5" spans="1:3" ht="15" thickBot="1" x14ac:dyDescent="0.35">
      <c r="A5" s="36" t="s">
        <v>113</v>
      </c>
      <c r="B5" s="35">
        <f>Inputs!$C$57</f>
        <v>8</v>
      </c>
      <c r="C5" s="35" t="s">
        <v>114</v>
      </c>
    </row>
    <row r="6" spans="1:3" x14ac:dyDescent="0.3">
      <c r="A6" s="40" t="s">
        <v>284</v>
      </c>
      <c r="B6" s="40">
        <f>B4+B5</f>
        <v>66</v>
      </c>
      <c r="C6" s="40" t="s">
        <v>114</v>
      </c>
    </row>
    <row r="7" spans="1:3" x14ac:dyDescent="0.3">
      <c r="A7" s="43" t="s">
        <v>285</v>
      </c>
      <c r="B7" s="43">
        <f>B6*Inputs!$C$58</f>
        <v>1848</v>
      </c>
      <c r="C7" s="39" t="s">
        <v>78</v>
      </c>
    </row>
    <row r="8" spans="1:3" x14ac:dyDescent="0.3">
      <c r="A8" s="24" t="s">
        <v>117</v>
      </c>
      <c r="B8" s="25">
        <f>Inputs!$C$59</f>
        <v>5</v>
      </c>
      <c r="C8" s="25" t="s">
        <v>114</v>
      </c>
    </row>
    <row r="9" spans="1:3" ht="15" thickBot="1" x14ac:dyDescent="0.35">
      <c r="A9" s="36" t="s">
        <v>286</v>
      </c>
      <c r="B9" s="36">
        <f>B8*Inputs!$C$60</f>
        <v>350</v>
      </c>
      <c r="C9" s="35" t="s">
        <v>78</v>
      </c>
    </row>
    <row r="10" spans="1:3" x14ac:dyDescent="0.3">
      <c r="A10" s="40" t="s">
        <v>287</v>
      </c>
      <c r="B10" s="40">
        <f>B7+B9</f>
        <v>2198</v>
      </c>
      <c r="C10" s="40" t="s">
        <v>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9"/>
  <sheetViews>
    <sheetView zoomScaleNormal="100" workbookViewId="0">
      <selection activeCell="F16" sqref="F16"/>
    </sheetView>
  </sheetViews>
  <sheetFormatPr defaultColWidth="8.6640625" defaultRowHeight="14.4" x14ac:dyDescent="0.3"/>
  <cols>
    <col min="1" max="1" width="37.44140625" bestFit="1" customWidth="1"/>
    <col min="2" max="2" width="13.88671875" bestFit="1" customWidth="1"/>
    <col min="3" max="3" width="28.6640625" bestFit="1" customWidth="1"/>
  </cols>
  <sheetData>
    <row r="1" spans="1:3" ht="17.399999999999999" x14ac:dyDescent="0.3">
      <c r="A1" s="27" t="s">
        <v>288</v>
      </c>
      <c r="B1" s="27"/>
      <c r="C1" s="27"/>
    </row>
    <row r="2" spans="1:3" x14ac:dyDescent="0.3">
      <c r="A2" s="25"/>
      <c r="B2" s="25"/>
      <c r="C2" s="25"/>
    </row>
    <row r="3" spans="1:3" x14ac:dyDescent="0.3">
      <c r="A3" s="28" t="s">
        <v>289</v>
      </c>
      <c r="B3" s="28" t="s">
        <v>247</v>
      </c>
      <c r="C3" s="28" t="s">
        <v>123</v>
      </c>
    </row>
    <row r="4" spans="1:3" x14ac:dyDescent="0.3">
      <c r="A4" s="25" t="s">
        <v>290</v>
      </c>
      <c r="B4" s="25">
        <f>Capacity!M18*Inputs!$C$47</f>
        <v>238</v>
      </c>
      <c r="C4" s="26" t="s">
        <v>291</v>
      </c>
    </row>
    <row r="5" spans="1:3" x14ac:dyDescent="0.3">
      <c r="A5" s="25" t="s">
        <v>292</v>
      </c>
      <c r="B5" s="25">
        <f>Inputs!$C$50</f>
        <v>135</v>
      </c>
      <c r="C5" s="26" t="s">
        <v>103</v>
      </c>
    </row>
    <row r="6" spans="1:3" x14ac:dyDescent="0.3">
      <c r="A6" s="25" t="s">
        <v>293</v>
      </c>
      <c r="B6" s="25">
        <f>Inputs!$C$51</f>
        <v>70</v>
      </c>
      <c r="C6" s="26" t="s">
        <v>103</v>
      </c>
    </row>
    <row r="7" spans="1:3" x14ac:dyDescent="0.3">
      <c r="A7" s="25" t="s">
        <v>294</v>
      </c>
      <c r="B7" s="25">
        <f>Storage_3D!D4+Storage_3D!D5+Storage_3D!D7+Storage_3D!D8</f>
        <v>80.474999999999994</v>
      </c>
      <c r="C7" s="26" t="s">
        <v>295</v>
      </c>
    </row>
    <row r="8" spans="1:3" x14ac:dyDescent="0.3">
      <c r="A8" s="25" t="s">
        <v>296</v>
      </c>
      <c r="B8" s="25">
        <f>Storage_3D!D6</f>
        <v>46.8</v>
      </c>
      <c r="C8" s="26" t="s">
        <v>295</v>
      </c>
    </row>
    <row r="9" spans="1:3" x14ac:dyDescent="0.3">
      <c r="A9" s="25" t="s">
        <v>297</v>
      </c>
      <c r="B9" s="25">
        <f>Inputs!$C$53</f>
        <v>220</v>
      </c>
      <c r="C9" s="26" t="s">
        <v>107</v>
      </c>
    </row>
    <row r="10" spans="1:3" x14ac:dyDescent="0.3">
      <c r="A10" s="25" t="s">
        <v>298</v>
      </c>
      <c r="B10" s="25">
        <f>(Personnel!B18-Capacity!O18)*Inputs!$C$54</f>
        <v>216</v>
      </c>
      <c r="C10" s="26" t="s">
        <v>299</v>
      </c>
    </row>
    <row r="11" spans="1:3" ht="15" thickBot="1" x14ac:dyDescent="0.35">
      <c r="A11" s="35" t="s">
        <v>300</v>
      </c>
      <c r="B11" s="35">
        <f>Personnel!B18*Inputs!$C$55</f>
        <v>203</v>
      </c>
      <c r="C11" s="38" t="s">
        <v>301</v>
      </c>
    </row>
    <row r="12" spans="1:3" x14ac:dyDescent="0.3">
      <c r="A12" s="40" t="s">
        <v>302</v>
      </c>
      <c r="B12" s="40">
        <f>SUM(B4:B11)</f>
        <v>1209.2750000000001</v>
      </c>
      <c r="C12" s="40"/>
    </row>
    <row r="13" spans="1:3" ht="15" thickBot="1" x14ac:dyDescent="0.35">
      <c r="A13" s="44" t="s">
        <v>303</v>
      </c>
      <c r="B13" s="44">
        <f>B12*Inputs!$C$48</f>
        <v>302.31875000000002</v>
      </c>
      <c r="C13" s="45" t="s">
        <v>304</v>
      </c>
    </row>
    <row r="14" spans="1:3" x14ac:dyDescent="0.3">
      <c r="A14" s="40" t="s">
        <v>305</v>
      </c>
      <c r="B14" s="40">
        <f>B12+B13</f>
        <v>1511.59375</v>
      </c>
      <c r="C14" s="40"/>
    </row>
    <row r="15" spans="1:3" ht="15" thickBot="1" x14ac:dyDescent="0.35">
      <c r="A15" s="44" t="s">
        <v>306</v>
      </c>
      <c r="B15" s="44">
        <f>ROUND(B14*Inputs!$C$49,0)</f>
        <v>151</v>
      </c>
      <c r="C15" s="44"/>
    </row>
    <row r="16" spans="1:3" x14ac:dyDescent="0.3">
      <c r="A16" s="46" t="s">
        <v>307</v>
      </c>
      <c r="B16" s="46">
        <f>ROUND(B14+B15,0)</f>
        <v>1663</v>
      </c>
      <c r="C16" s="46"/>
    </row>
    <row r="17" spans="1:3" x14ac:dyDescent="0.3">
      <c r="A17" s="39"/>
      <c r="B17" s="39"/>
      <c r="C17" s="39"/>
    </row>
    <row r="18" spans="1:3" ht="15" thickBot="1" x14ac:dyDescent="0.35">
      <c r="A18" s="35" t="s">
        <v>308</v>
      </c>
      <c r="B18" s="35">
        <f>Parking!B10</f>
        <v>2198</v>
      </c>
      <c r="C18" s="38" t="s">
        <v>309</v>
      </c>
    </row>
    <row r="19" spans="1:3" x14ac:dyDescent="0.3">
      <c r="A19" s="46" t="s">
        <v>310</v>
      </c>
      <c r="B19" s="46">
        <f>ROUND(B16+B18,0)</f>
        <v>3861</v>
      </c>
      <c r="C19" s="4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5"/>
  <sheetViews>
    <sheetView zoomScaleNormal="100" workbookViewId="0"/>
  </sheetViews>
  <sheetFormatPr defaultColWidth="8.6640625" defaultRowHeight="14.4" x14ac:dyDescent="0.3"/>
  <cols>
    <col min="1" max="1" width="24" customWidth="1"/>
    <col min="2" max="2" width="34" customWidth="1"/>
    <col min="3" max="3" width="40" customWidth="1"/>
    <col min="4" max="4" width="12" customWidth="1"/>
    <col min="5" max="5" width="10" customWidth="1"/>
    <col min="6" max="6" width="12" customWidth="1"/>
  </cols>
  <sheetData>
    <row r="1" spans="1:6" ht="16.8" x14ac:dyDescent="0.3">
      <c r="A1" s="1" t="s">
        <v>311</v>
      </c>
    </row>
    <row r="3" spans="1:6" ht="27.6" x14ac:dyDescent="0.3">
      <c r="A3" s="3" t="s">
        <v>312</v>
      </c>
      <c r="B3" s="3" t="s">
        <v>313</v>
      </c>
      <c r="C3" s="3" t="s">
        <v>314</v>
      </c>
      <c r="D3" s="3" t="s">
        <v>315</v>
      </c>
      <c r="E3" s="3" t="s">
        <v>316</v>
      </c>
      <c r="F3" s="3" t="s">
        <v>317</v>
      </c>
    </row>
    <row r="4" spans="1:6" x14ac:dyDescent="0.3">
      <c r="A4" s="4" t="s">
        <v>157</v>
      </c>
      <c r="B4" s="6" t="s">
        <v>318</v>
      </c>
      <c r="C4" s="6" t="s">
        <v>319</v>
      </c>
      <c r="D4" s="6" t="s">
        <v>320</v>
      </c>
      <c r="E4" s="6" t="s">
        <v>321</v>
      </c>
      <c r="F4" s="6" t="s">
        <v>322</v>
      </c>
    </row>
    <row r="5" spans="1:6" x14ac:dyDescent="0.3">
      <c r="A5" s="4" t="s">
        <v>323</v>
      </c>
      <c r="B5" s="6" t="s">
        <v>324</v>
      </c>
      <c r="C5" s="6" t="s">
        <v>325</v>
      </c>
      <c r="D5" s="6" t="s">
        <v>320</v>
      </c>
      <c r="E5" s="6" t="s">
        <v>321</v>
      </c>
      <c r="F5" s="6" t="s">
        <v>322</v>
      </c>
    </row>
    <row r="6" spans="1:6" x14ac:dyDescent="0.3">
      <c r="A6" s="4" t="s">
        <v>326</v>
      </c>
      <c r="B6" s="6" t="s">
        <v>327</v>
      </c>
      <c r="C6" s="6" t="s">
        <v>328</v>
      </c>
      <c r="D6" s="6" t="s">
        <v>320</v>
      </c>
      <c r="E6" s="6" t="s">
        <v>321</v>
      </c>
      <c r="F6" s="6" t="s">
        <v>322</v>
      </c>
    </row>
    <row r="7" spans="1:6" x14ac:dyDescent="0.3">
      <c r="A7" s="4" t="s">
        <v>329</v>
      </c>
      <c r="B7" s="6" t="s">
        <v>330</v>
      </c>
      <c r="C7" s="6" t="s">
        <v>328</v>
      </c>
      <c r="D7" s="6" t="s">
        <v>320</v>
      </c>
      <c r="E7" s="6" t="s">
        <v>321</v>
      </c>
      <c r="F7" s="6" t="s">
        <v>322</v>
      </c>
    </row>
    <row r="8" spans="1:6" x14ac:dyDescent="0.3">
      <c r="A8" s="4" t="s">
        <v>331</v>
      </c>
      <c r="B8" s="6" t="s">
        <v>332</v>
      </c>
      <c r="C8" s="6" t="s">
        <v>333</v>
      </c>
      <c r="D8" s="6" t="s">
        <v>320</v>
      </c>
      <c r="E8" s="6" t="s">
        <v>321</v>
      </c>
      <c r="F8" s="6" t="s">
        <v>322</v>
      </c>
    </row>
    <row r="9" spans="1:6" x14ac:dyDescent="0.3">
      <c r="A9" s="4" t="s">
        <v>334</v>
      </c>
      <c r="B9" s="6" t="s">
        <v>335</v>
      </c>
      <c r="C9" s="6" t="s">
        <v>328</v>
      </c>
      <c r="D9" s="6" t="s">
        <v>320</v>
      </c>
      <c r="E9" s="6" t="s">
        <v>321</v>
      </c>
      <c r="F9" s="6" t="s">
        <v>322</v>
      </c>
    </row>
    <row r="10" spans="1:6" x14ac:dyDescent="0.3">
      <c r="A10" s="4" t="s">
        <v>336</v>
      </c>
      <c r="B10" s="6" t="s">
        <v>337</v>
      </c>
      <c r="C10" s="6" t="s">
        <v>338</v>
      </c>
      <c r="D10" s="6" t="s">
        <v>320</v>
      </c>
      <c r="E10" s="6" t="s">
        <v>321</v>
      </c>
      <c r="F10" s="6" t="s">
        <v>322</v>
      </c>
    </row>
    <row r="11" spans="1:6" x14ac:dyDescent="0.3">
      <c r="A11" s="4" t="s">
        <v>339</v>
      </c>
      <c r="B11" s="6" t="s">
        <v>340</v>
      </c>
      <c r="C11" s="6" t="s">
        <v>341</v>
      </c>
      <c r="D11" s="6" t="s">
        <v>320</v>
      </c>
      <c r="E11" s="6" t="s">
        <v>321</v>
      </c>
      <c r="F11" s="6" t="s">
        <v>322</v>
      </c>
    </row>
    <row r="12" spans="1:6" x14ac:dyDescent="0.3">
      <c r="A12" s="4" t="s">
        <v>342</v>
      </c>
      <c r="B12" s="6" t="s">
        <v>343</v>
      </c>
      <c r="C12" s="6" t="s">
        <v>344</v>
      </c>
      <c r="D12" s="6" t="s">
        <v>320</v>
      </c>
      <c r="E12" s="6" t="s">
        <v>321</v>
      </c>
      <c r="F12" s="6" t="s">
        <v>322</v>
      </c>
    </row>
    <row r="13" spans="1:6" x14ac:dyDescent="0.3">
      <c r="A13" s="4" t="s">
        <v>345</v>
      </c>
      <c r="B13" s="6" t="s">
        <v>346</v>
      </c>
      <c r="C13" s="6" t="s">
        <v>347</v>
      </c>
      <c r="D13" s="6" t="s">
        <v>37</v>
      </c>
      <c r="E13" s="6" t="s">
        <v>37</v>
      </c>
      <c r="F13" s="6" t="s">
        <v>348</v>
      </c>
    </row>
    <row r="15" spans="1:6" x14ac:dyDescent="0.3">
      <c r="A15" s="2" t="s">
        <v>349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7"/>
  <sheetViews>
    <sheetView zoomScaleNormal="100" workbookViewId="0">
      <selection activeCell="K20" sqref="K20"/>
    </sheetView>
  </sheetViews>
  <sheetFormatPr defaultColWidth="8.6640625" defaultRowHeight="14.4" x14ac:dyDescent="0.3"/>
  <cols>
    <col min="1" max="1" width="40.6640625" customWidth="1"/>
    <col min="2" max="2" width="10.6640625" customWidth="1"/>
    <col min="3" max="8" width="18.6640625" customWidth="1"/>
  </cols>
  <sheetData>
    <row r="1" spans="1:8" ht="16.8" x14ac:dyDescent="0.3">
      <c r="A1" s="1" t="s">
        <v>350</v>
      </c>
    </row>
    <row r="3" spans="1:8" ht="41.4" x14ac:dyDescent="0.3">
      <c r="A3" s="3" t="s">
        <v>351</v>
      </c>
      <c r="B3" s="3" t="s">
        <v>352</v>
      </c>
      <c r="C3" s="55" t="s">
        <v>441</v>
      </c>
      <c r="D3" s="55" t="s">
        <v>442</v>
      </c>
      <c r="E3" s="55" t="s">
        <v>443</v>
      </c>
      <c r="F3" s="3" t="s">
        <v>353</v>
      </c>
      <c r="G3" s="3" t="s">
        <v>354</v>
      </c>
      <c r="H3" s="3" t="s">
        <v>355</v>
      </c>
    </row>
    <row r="4" spans="1:8" x14ac:dyDescent="0.3">
      <c r="A4" s="6" t="s">
        <v>356</v>
      </c>
      <c r="B4" s="5">
        <v>0.2</v>
      </c>
      <c r="C4" s="5">
        <v>5</v>
      </c>
      <c r="D4" s="5">
        <v>5</v>
      </c>
      <c r="E4" s="5">
        <v>5</v>
      </c>
      <c r="F4" s="6">
        <f t="shared" ref="F4:F10" si="0">B4*C4</f>
        <v>1</v>
      </c>
      <c r="G4" s="6">
        <f t="shared" ref="G4:G10" si="1">B4*D4</f>
        <v>1</v>
      </c>
      <c r="H4" s="6">
        <f t="shared" ref="H4:H10" si="2">B4*E4</f>
        <v>1</v>
      </c>
    </row>
    <row r="5" spans="1:8" x14ac:dyDescent="0.3">
      <c r="A5" s="6" t="s">
        <v>357</v>
      </c>
      <c r="B5" s="5">
        <v>0.2</v>
      </c>
      <c r="C5" s="5">
        <v>5</v>
      </c>
      <c r="D5" s="5">
        <v>3</v>
      </c>
      <c r="E5" s="5">
        <v>4</v>
      </c>
      <c r="F5" s="6">
        <f t="shared" si="0"/>
        <v>1</v>
      </c>
      <c r="G5" s="6">
        <f t="shared" si="1"/>
        <v>0.60000000000000009</v>
      </c>
      <c r="H5" s="6">
        <f t="shared" si="2"/>
        <v>0.8</v>
      </c>
    </row>
    <row r="6" spans="1:8" x14ac:dyDescent="0.3">
      <c r="A6" s="6" t="s">
        <v>358</v>
      </c>
      <c r="B6" s="5">
        <v>0.15</v>
      </c>
      <c r="C6" s="5">
        <v>3</v>
      </c>
      <c r="D6" s="5">
        <v>2</v>
      </c>
      <c r="E6" s="5">
        <v>5</v>
      </c>
      <c r="F6" s="6">
        <f t="shared" si="0"/>
        <v>0.44999999999999996</v>
      </c>
      <c r="G6" s="6">
        <f t="shared" si="1"/>
        <v>0.3</v>
      </c>
      <c r="H6" s="6">
        <f t="shared" si="2"/>
        <v>0.75</v>
      </c>
    </row>
    <row r="7" spans="1:8" x14ac:dyDescent="0.3">
      <c r="A7" s="6" t="s">
        <v>359</v>
      </c>
      <c r="B7" s="5">
        <v>0.15</v>
      </c>
      <c r="C7" s="5">
        <v>3</v>
      </c>
      <c r="D7" s="5">
        <v>4</v>
      </c>
      <c r="E7" s="5">
        <v>3</v>
      </c>
      <c r="F7" s="6">
        <f t="shared" si="0"/>
        <v>0.44999999999999996</v>
      </c>
      <c r="G7" s="6">
        <f t="shared" si="1"/>
        <v>0.6</v>
      </c>
      <c r="H7" s="6">
        <f t="shared" si="2"/>
        <v>0.44999999999999996</v>
      </c>
    </row>
    <row r="8" spans="1:8" x14ac:dyDescent="0.3">
      <c r="A8" s="6" t="s">
        <v>360</v>
      </c>
      <c r="B8" s="5">
        <v>0.1</v>
      </c>
      <c r="C8" s="5">
        <v>4</v>
      </c>
      <c r="D8" s="5">
        <v>3</v>
      </c>
      <c r="E8" s="5">
        <v>4</v>
      </c>
      <c r="F8" s="6">
        <f t="shared" si="0"/>
        <v>0.4</v>
      </c>
      <c r="G8" s="6">
        <f t="shared" si="1"/>
        <v>0.30000000000000004</v>
      </c>
      <c r="H8" s="6">
        <f t="shared" si="2"/>
        <v>0.4</v>
      </c>
    </row>
    <row r="9" spans="1:8" x14ac:dyDescent="0.3">
      <c r="A9" s="6" t="s">
        <v>361</v>
      </c>
      <c r="B9" s="5">
        <v>0.1</v>
      </c>
      <c r="C9" s="5">
        <v>3</v>
      </c>
      <c r="D9" s="5">
        <v>2</v>
      </c>
      <c r="E9" s="5">
        <v>5</v>
      </c>
      <c r="F9" s="6">
        <f t="shared" si="0"/>
        <v>0.30000000000000004</v>
      </c>
      <c r="G9" s="6">
        <f t="shared" si="1"/>
        <v>0.2</v>
      </c>
      <c r="H9" s="6">
        <f t="shared" si="2"/>
        <v>0.5</v>
      </c>
    </row>
    <row r="10" spans="1:8" x14ac:dyDescent="0.3">
      <c r="A10" s="6" t="s">
        <v>362</v>
      </c>
      <c r="B10" s="5">
        <v>0.1</v>
      </c>
      <c r="C10" s="5">
        <v>5</v>
      </c>
      <c r="D10" s="5">
        <v>4</v>
      </c>
      <c r="E10" s="5">
        <v>3</v>
      </c>
      <c r="F10" s="6">
        <f t="shared" si="0"/>
        <v>0.5</v>
      </c>
      <c r="G10" s="6">
        <f t="shared" si="1"/>
        <v>0.4</v>
      </c>
      <c r="H10" s="6">
        <f t="shared" si="2"/>
        <v>0.30000000000000004</v>
      </c>
    </row>
    <row r="11" spans="1:8" x14ac:dyDescent="0.3">
      <c r="A11" s="9" t="s">
        <v>363</v>
      </c>
      <c r="B11" s="9">
        <f>SUM(B4:B10)</f>
        <v>1</v>
      </c>
      <c r="C11" s="10"/>
      <c r="D11" s="10"/>
      <c r="E11" s="10"/>
      <c r="F11" s="9">
        <f>SUM(F4:F10)</f>
        <v>4.1000000000000005</v>
      </c>
      <c r="G11" s="9">
        <f>SUM(G4:G10)</f>
        <v>3.4</v>
      </c>
      <c r="H11" s="9">
        <f>SUM(H4:H10)</f>
        <v>4.2</v>
      </c>
    </row>
    <row r="13" spans="1:8" x14ac:dyDescent="0.3">
      <c r="A13" s="2" t="s">
        <v>444</v>
      </c>
    </row>
    <row r="14" spans="1:8" x14ac:dyDescent="0.3">
      <c r="A14" t="s">
        <v>445</v>
      </c>
    </row>
    <row r="15" spans="1:8" x14ac:dyDescent="0.3">
      <c r="A15" t="s">
        <v>446</v>
      </c>
    </row>
    <row r="16" spans="1:8" x14ac:dyDescent="0.3">
      <c r="A16" t="s">
        <v>447</v>
      </c>
    </row>
    <row r="17" spans="1:1" x14ac:dyDescent="0.3">
      <c r="A17" t="s">
        <v>448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F8702-1A62-4461-BF14-5A3044C31F17}">
  <dimension ref="A1:G15"/>
  <sheetViews>
    <sheetView topLeftCell="A2" workbookViewId="0"/>
  </sheetViews>
  <sheetFormatPr defaultRowHeight="14.4" x14ac:dyDescent="0.3"/>
  <cols>
    <col min="1" max="1" width="44.109375" customWidth="1"/>
    <col min="2" max="2" width="28.5546875" customWidth="1"/>
    <col min="3" max="3" width="44.109375" customWidth="1"/>
    <col min="4" max="4" width="59.6640625" customWidth="1"/>
    <col min="5" max="5" width="31.109375" customWidth="1"/>
    <col min="6" max="6" width="18.109375" customWidth="1"/>
    <col min="7" max="7" width="38.88671875" customWidth="1"/>
  </cols>
  <sheetData>
    <row r="1" spans="1:7" ht="54" x14ac:dyDescent="0.35">
      <c r="A1" s="22" t="s">
        <v>368</v>
      </c>
      <c r="B1" s="11"/>
      <c r="C1" s="11"/>
      <c r="D1" s="11"/>
      <c r="E1" s="11"/>
      <c r="F1" s="11"/>
      <c r="G1" s="11"/>
    </row>
    <row r="2" spans="1:7" ht="43.2" x14ac:dyDescent="0.3">
      <c r="A2" s="23" t="s">
        <v>369</v>
      </c>
      <c r="B2" s="11"/>
      <c r="C2" s="11"/>
      <c r="D2" s="11"/>
      <c r="E2" s="11"/>
      <c r="F2" s="11"/>
      <c r="G2" s="11"/>
    </row>
    <row r="4" spans="1:7" x14ac:dyDescent="0.3">
      <c r="A4" s="12" t="s">
        <v>370</v>
      </c>
      <c r="B4" s="12" t="s">
        <v>371</v>
      </c>
      <c r="C4" s="12" t="s">
        <v>372</v>
      </c>
      <c r="D4" s="12" t="s">
        <v>373</v>
      </c>
      <c r="E4" s="12" t="s">
        <v>374</v>
      </c>
      <c r="F4" s="12" t="s">
        <v>375</v>
      </c>
      <c r="G4" s="12" t="s">
        <v>376</v>
      </c>
    </row>
    <row r="5" spans="1:7" ht="28.8" x14ac:dyDescent="0.3">
      <c r="A5" s="13" t="s">
        <v>377</v>
      </c>
      <c r="B5" s="13" t="s">
        <v>378</v>
      </c>
      <c r="C5" s="13" t="s">
        <v>379</v>
      </c>
      <c r="D5" s="13" t="s">
        <v>380</v>
      </c>
      <c r="E5" s="13" t="s">
        <v>381</v>
      </c>
      <c r="F5" s="14">
        <f>Demand!B9</f>
        <v>15.83</v>
      </c>
      <c r="G5" s="13" t="s">
        <v>382</v>
      </c>
    </row>
    <row r="6" spans="1:7" x14ac:dyDescent="0.3">
      <c r="A6" s="13" t="s">
        <v>377</v>
      </c>
      <c r="B6" s="13" t="s">
        <v>383</v>
      </c>
      <c r="C6" s="13" t="s">
        <v>384</v>
      </c>
      <c r="D6" s="13" t="s">
        <v>385</v>
      </c>
      <c r="E6" s="13" t="s">
        <v>386</v>
      </c>
      <c r="F6" s="15">
        <f>Demand!B6</f>
        <v>1819</v>
      </c>
      <c r="G6" s="13" t="s">
        <v>387</v>
      </c>
    </row>
    <row r="7" spans="1:7" x14ac:dyDescent="0.3">
      <c r="A7" s="13" t="s">
        <v>388</v>
      </c>
      <c r="B7" s="13" t="s">
        <v>389</v>
      </c>
      <c r="C7" s="13" t="s">
        <v>390</v>
      </c>
      <c r="D7" s="13" t="s">
        <v>391</v>
      </c>
      <c r="E7" s="13" t="s">
        <v>212</v>
      </c>
      <c r="F7" s="15">
        <f>RawMaterials!B8</f>
        <v>90</v>
      </c>
      <c r="G7" s="13" t="s">
        <v>392</v>
      </c>
    </row>
    <row r="8" spans="1:7" x14ac:dyDescent="0.3">
      <c r="A8" s="13" t="s">
        <v>388</v>
      </c>
      <c r="B8" s="13" t="s">
        <v>393</v>
      </c>
      <c r="C8" s="13" t="s">
        <v>394</v>
      </c>
      <c r="D8" s="13" t="s">
        <v>395</v>
      </c>
      <c r="E8" s="13" t="s">
        <v>396</v>
      </c>
      <c r="F8" s="15">
        <f>RawMaterials!B21</f>
        <v>23</v>
      </c>
      <c r="G8" s="13" t="s">
        <v>392</v>
      </c>
    </row>
    <row r="9" spans="1:7" x14ac:dyDescent="0.3">
      <c r="A9" s="13" t="s">
        <v>397</v>
      </c>
      <c r="B9" s="13" t="s">
        <v>398</v>
      </c>
      <c r="C9" s="13" t="s">
        <v>399</v>
      </c>
      <c r="D9" s="13" t="s">
        <v>400</v>
      </c>
      <c r="E9" s="13" t="s">
        <v>401</v>
      </c>
      <c r="F9" s="15">
        <f>Inputs!C10</f>
        <v>480</v>
      </c>
      <c r="G9" s="13" t="s">
        <v>402</v>
      </c>
    </row>
    <row r="10" spans="1:7" ht="28.8" x14ac:dyDescent="0.3">
      <c r="A10" s="16" t="s">
        <v>403</v>
      </c>
      <c r="B10" s="16" t="s">
        <v>404</v>
      </c>
      <c r="C10" s="16" t="s">
        <v>405</v>
      </c>
      <c r="D10" s="16" t="s">
        <v>406</v>
      </c>
      <c r="E10" s="16" t="s">
        <v>407</v>
      </c>
      <c r="F10" s="17">
        <f>Capacity!M18</f>
        <v>34</v>
      </c>
      <c r="G10" s="16" t="s">
        <v>408</v>
      </c>
    </row>
    <row r="11" spans="1:7" x14ac:dyDescent="0.3">
      <c r="A11" s="16" t="s">
        <v>403</v>
      </c>
      <c r="B11" s="16" t="s">
        <v>409</v>
      </c>
      <c r="C11" s="16" t="s">
        <v>410</v>
      </c>
      <c r="D11" s="16" t="s">
        <v>411</v>
      </c>
      <c r="E11" s="16" t="s">
        <v>412</v>
      </c>
      <c r="F11" s="17">
        <f>Capacity!O18</f>
        <v>34</v>
      </c>
      <c r="G11" s="16" t="s">
        <v>413</v>
      </c>
    </row>
    <row r="12" spans="1:7" x14ac:dyDescent="0.3">
      <c r="A12" s="16" t="s">
        <v>414</v>
      </c>
      <c r="B12" s="16" t="s">
        <v>415</v>
      </c>
      <c r="C12" s="16" t="s">
        <v>416</v>
      </c>
      <c r="D12" s="16" t="s">
        <v>417</v>
      </c>
      <c r="E12" s="16" t="s">
        <v>364</v>
      </c>
      <c r="F12" s="18">
        <f>Capacity!N19</f>
        <v>0.62518627297410201</v>
      </c>
      <c r="G12" s="16" t="s">
        <v>418</v>
      </c>
    </row>
    <row r="13" spans="1:7" x14ac:dyDescent="0.3">
      <c r="A13" s="13" t="s">
        <v>419</v>
      </c>
      <c r="B13" s="13" t="s">
        <v>420</v>
      </c>
      <c r="C13" s="13" t="s">
        <v>421</v>
      </c>
      <c r="D13" s="13" t="s">
        <v>422</v>
      </c>
      <c r="E13" s="13" t="s">
        <v>192</v>
      </c>
      <c r="F13" s="19">
        <f>'Equipment-dep'!B9</f>
        <v>2</v>
      </c>
      <c r="G13" s="13" t="s">
        <v>423</v>
      </c>
    </row>
    <row r="14" spans="1:7" x14ac:dyDescent="0.3">
      <c r="A14" s="20"/>
      <c r="B14" s="20"/>
      <c r="C14" s="20"/>
      <c r="D14" s="20"/>
      <c r="E14" s="20"/>
      <c r="F14" s="20"/>
      <c r="G14" s="20"/>
    </row>
    <row r="15" spans="1:7" ht="57.6" x14ac:dyDescent="0.3">
      <c r="A15" s="21" t="s">
        <v>424</v>
      </c>
      <c r="B15" s="20"/>
      <c r="C15" s="20"/>
      <c r="D15" s="20"/>
      <c r="E15" s="20"/>
      <c r="F15" s="20"/>
      <c r="G15" s="2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AAF9A-F941-44AB-AA34-B72802C7CB08}">
  <dimension ref="A1:F26"/>
  <sheetViews>
    <sheetView workbookViewId="0"/>
  </sheetViews>
  <sheetFormatPr defaultRowHeight="14.4" x14ac:dyDescent="0.3"/>
  <cols>
    <col min="1" max="1" width="30.6640625" customWidth="1"/>
    <col min="2" max="2" width="14.6640625" customWidth="1"/>
    <col min="3" max="3" width="14.6640625" style="53" customWidth="1"/>
    <col min="4" max="4" width="14.6640625" customWidth="1"/>
    <col min="5" max="5" width="14.6640625" style="53" customWidth="1"/>
    <col min="6" max="6" width="14.6640625" customWidth="1"/>
  </cols>
  <sheetData>
    <row r="1" spans="1:6" x14ac:dyDescent="0.3">
      <c r="A1" t="s">
        <v>425</v>
      </c>
    </row>
    <row r="2" spans="1:6" x14ac:dyDescent="0.3">
      <c r="A2" t="s">
        <v>426</v>
      </c>
    </row>
    <row r="4" spans="1:6" x14ac:dyDescent="0.3">
      <c r="A4" s="52" t="s">
        <v>142</v>
      </c>
      <c r="B4" s="52" t="s">
        <v>153</v>
      </c>
      <c r="C4" s="54" t="s">
        <v>427</v>
      </c>
      <c r="D4" s="52" t="s">
        <v>317</v>
      </c>
      <c r="E4" s="54" t="s">
        <v>428</v>
      </c>
      <c r="F4" s="52" t="s">
        <v>429</v>
      </c>
    </row>
    <row r="5" spans="1:6" x14ac:dyDescent="0.3">
      <c r="A5" t="str">
        <f>Capacity!A4</f>
        <v>Cut handle</v>
      </c>
      <c r="B5">
        <f>Capacity!M4</f>
        <v>2</v>
      </c>
      <c r="C5" s="53">
        <f>Capacity!N4</f>
        <v>0.99725877192982459</v>
      </c>
      <c r="D5" t="str">
        <f t="shared" ref="D5:D18" si="0">IF(C5&gt;=0.9,"CONSTRAINT",IF(C5&gt;=0.7,"near",""))</f>
        <v>CONSTRAINT</v>
      </c>
      <c r="E5" s="53">
        <f t="shared" ref="E5:E18" si="1">C5*1.1</f>
        <v>1.0969846491228072</v>
      </c>
      <c r="F5" t="str">
        <f t="shared" ref="F5:F18" si="2">IF(E5&gt;1,"add 1 machine",IF(E5&gt;=0.95,"watch",""))</f>
        <v>add 1 machine</v>
      </c>
    </row>
    <row r="6" spans="1:6" x14ac:dyDescent="0.3">
      <c r="A6" t="str">
        <f>Capacity!A5</f>
        <v>Internal thread (middle)</v>
      </c>
      <c r="B6">
        <f>Capacity!M5</f>
        <v>2</v>
      </c>
      <c r="C6" s="53">
        <f>Capacity!N5</f>
        <v>0.66483918128654962</v>
      </c>
      <c r="D6" t="str">
        <f t="shared" si="0"/>
        <v/>
      </c>
      <c r="E6" s="53">
        <f t="shared" si="1"/>
        <v>0.73132309941520468</v>
      </c>
      <c r="F6" t="str">
        <f t="shared" si="2"/>
        <v/>
      </c>
    </row>
    <row r="7" spans="1:6" x14ac:dyDescent="0.3">
      <c r="A7" t="str">
        <f>Capacity!A6</f>
        <v>Stamp / narrow end (grip)</v>
      </c>
      <c r="B7">
        <f>Capacity!M6</f>
        <v>1</v>
      </c>
      <c r="C7" s="53">
        <f>Capacity!N6</f>
        <v>0.33241959064327481</v>
      </c>
      <c r="D7" t="str">
        <f t="shared" si="0"/>
        <v/>
      </c>
      <c r="E7" s="53">
        <f t="shared" si="1"/>
        <v>0.36566154970760234</v>
      </c>
      <c r="F7" t="str">
        <f t="shared" si="2"/>
        <v/>
      </c>
    </row>
    <row r="8" spans="1:6" x14ac:dyDescent="0.3">
      <c r="A8" t="str">
        <f>Capacity!A7</f>
        <v>Knurl + external thread (grip)</v>
      </c>
      <c r="B8">
        <f>Capacity!M7</f>
        <v>4</v>
      </c>
      <c r="C8" s="53">
        <f>Capacity!N7</f>
        <v>0.99725877192982459</v>
      </c>
      <c r="D8" t="str">
        <f t="shared" si="0"/>
        <v>CONSTRAINT</v>
      </c>
      <c r="E8" s="53">
        <f t="shared" si="1"/>
        <v>1.0969846491228072</v>
      </c>
      <c r="F8" t="str">
        <f t="shared" si="2"/>
        <v>add 1 machine</v>
      </c>
    </row>
    <row r="9" spans="1:6" x14ac:dyDescent="0.3">
      <c r="A9" t="str">
        <f>Capacity!A8</f>
        <v>Stamp shovel head</v>
      </c>
      <c r="B9">
        <f>Capacity!M8</f>
        <v>1</v>
      </c>
      <c r="C9" s="53">
        <f>Capacity!N8</f>
        <v>0.13296783625730996</v>
      </c>
      <c r="D9" t="str">
        <f t="shared" si="0"/>
        <v/>
      </c>
      <c r="E9" s="53">
        <f t="shared" si="1"/>
        <v>0.14626461988304096</v>
      </c>
      <c r="F9" t="str">
        <f t="shared" si="2"/>
        <v/>
      </c>
    </row>
    <row r="10" spans="1:6" x14ac:dyDescent="0.3">
      <c r="A10" t="str">
        <f>Capacity!A9</f>
        <v>Shape / bend head</v>
      </c>
      <c r="B10">
        <f>Capacity!M9</f>
        <v>1</v>
      </c>
      <c r="C10" s="53">
        <f>Capacity!N9</f>
        <v>0.12631944444444446</v>
      </c>
      <c r="D10" t="str">
        <f t="shared" si="0"/>
        <v/>
      </c>
      <c r="E10" s="53">
        <f t="shared" si="1"/>
        <v>0.13895138888888892</v>
      </c>
      <c r="F10" t="str">
        <f t="shared" si="2"/>
        <v/>
      </c>
    </row>
    <row r="11" spans="1:6" x14ac:dyDescent="0.3">
      <c r="A11" t="str">
        <f>Capacity!A10</f>
        <v>Sharpen blade</v>
      </c>
      <c r="B11">
        <f>Capacity!M10</f>
        <v>8</v>
      </c>
      <c r="C11" s="53">
        <f>Capacity!N10</f>
        <v>0.94739583333333333</v>
      </c>
      <c r="D11" t="str">
        <f t="shared" si="0"/>
        <v>CONSTRAINT</v>
      </c>
      <c r="E11" s="53">
        <f t="shared" si="1"/>
        <v>1.0421354166666668</v>
      </c>
      <c r="F11" t="str">
        <f t="shared" si="2"/>
        <v>add 1 machine</v>
      </c>
    </row>
    <row r="12" spans="1:6" x14ac:dyDescent="0.3">
      <c r="A12" t="str">
        <f>Capacity!A11</f>
        <v>Serrate edge</v>
      </c>
      <c r="B12">
        <f>Capacity!M11</f>
        <v>4</v>
      </c>
      <c r="C12" s="53">
        <f>Capacity!N11</f>
        <v>0.94739583333333333</v>
      </c>
      <c r="D12" t="str">
        <f t="shared" si="0"/>
        <v>CONSTRAINT</v>
      </c>
      <c r="E12" s="53">
        <f t="shared" si="1"/>
        <v>1.0421354166666668</v>
      </c>
      <c r="F12" t="str">
        <f t="shared" si="2"/>
        <v>add 1 machine</v>
      </c>
    </row>
    <row r="13" spans="1:6" x14ac:dyDescent="0.3">
      <c r="A13" t="str">
        <f>Capacity!A12</f>
        <v>Stamp hinge connector</v>
      </c>
      <c r="B13">
        <f>Capacity!M12</f>
        <v>1</v>
      </c>
      <c r="C13" s="53">
        <f>Capacity!N12</f>
        <v>0.13296783625730996</v>
      </c>
      <c r="D13" t="str">
        <f t="shared" si="0"/>
        <v/>
      </c>
      <c r="E13" s="53">
        <f t="shared" si="1"/>
        <v>0.14626461988304096</v>
      </c>
      <c r="F13" t="str">
        <f t="shared" si="2"/>
        <v/>
      </c>
    </row>
    <row r="14" spans="1:6" x14ac:dyDescent="0.3">
      <c r="A14" t="str">
        <f>Capacity!A13</f>
        <v>Bend hinge connector</v>
      </c>
      <c r="B14">
        <f>Capacity!M13</f>
        <v>1</v>
      </c>
      <c r="C14" s="53">
        <f>Capacity!N13</f>
        <v>0.31579861111111113</v>
      </c>
      <c r="D14" t="str">
        <f t="shared" si="0"/>
        <v/>
      </c>
      <c r="E14" s="53">
        <f t="shared" si="1"/>
        <v>0.34737847222222229</v>
      </c>
      <c r="F14" t="str">
        <f t="shared" si="2"/>
        <v/>
      </c>
    </row>
    <row r="15" spans="1:6" x14ac:dyDescent="0.3">
      <c r="A15" t="str">
        <f>Capacity!A14</f>
        <v>Rivet hinge to head</v>
      </c>
      <c r="B15">
        <f>Capacity!M14</f>
        <v>1</v>
      </c>
      <c r="C15" s="53">
        <f>Capacity!N14</f>
        <v>0.31579861111111113</v>
      </c>
      <c r="D15" t="str">
        <f t="shared" si="0"/>
        <v/>
      </c>
      <c r="E15" s="53">
        <f t="shared" si="1"/>
        <v>0.34737847222222229</v>
      </c>
      <c r="F15" t="str">
        <f t="shared" si="2"/>
        <v/>
      </c>
    </row>
    <row r="16" spans="1:6" x14ac:dyDescent="0.3">
      <c r="A16" t="str">
        <f>Capacity!A15</f>
        <v>Hand polish / deburr</v>
      </c>
      <c r="B16">
        <f>Capacity!M15</f>
        <v>4</v>
      </c>
      <c r="C16" s="53">
        <f>Capacity!N15</f>
        <v>0.94739583333333333</v>
      </c>
      <c r="D16" t="str">
        <f t="shared" si="0"/>
        <v>CONSTRAINT</v>
      </c>
      <c r="E16" s="53">
        <f t="shared" si="1"/>
        <v>1.0421354166666668</v>
      </c>
      <c r="F16" t="str">
        <f t="shared" si="2"/>
        <v>add 1 machine</v>
      </c>
    </row>
    <row r="17" spans="1:6" x14ac:dyDescent="0.3">
      <c r="A17" t="str">
        <f>Capacity!A16</f>
        <v>Final assembly</v>
      </c>
      <c r="B17">
        <f>Capacity!M16</f>
        <v>2</v>
      </c>
      <c r="C17" s="53">
        <f>Capacity!N16</f>
        <v>0.94739583333333333</v>
      </c>
      <c r="D17" t="str">
        <f t="shared" si="0"/>
        <v>CONSTRAINT</v>
      </c>
      <c r="E17" s="53">
        <f t="shared" si="1"/>
        <v>1.0421354166666668</v>
      </c>
      <c r="F17" t="str">
        <f t="shared" si="2"/>
        <v>add 1 machine</v>
      </c>
    </row>
    <row r="18" spans="1:6" x14ac:dyDescent="0.3">
      <c r="A18" t="str">
        <f>Capacity!A17</f>
        <v>Packaging (hand + check)</v>
      </c>
      <c r="B18">
        <f>Capacity!M17</f>
        <v>2</v>
      </c>
      <c r="C18" s="53">
        <f>Capacity!N17</f>
        <v>0.94739583333333333</v>
      </c>
      <c r="D18" t="str">
        <f t="shared" si="0"/>
        <v>CONSTRAINT</v>
      </c>
      <c r="E18" s="53">
        <f t="shared" si="1"/>
        <v>1.0421354166666668</v>
      </c>
      <c r="F18" t="str">
        <f t="shared" si="2"/>
        <v>add 1 machine</v>
      </c>
    </row>
    <row r="21" spans="1:6" x14ac:dyDescent="0.3">
      <c r="A21" t="s">
        <v>430</v>
      </c>
    </row>
    <row r="22" spans="1:6" x14ac:dyDescent="0.3">
      <c r="A22" t="s">
        <v>431</v>
      </c>
      <c r="B22" t="s">
        <v>432</v>
      </c>
    </row>
    <row r="23" spans="1:6" x14ac:dyDescent="0.3">
      <c r="A23" t="s">
        <v>433</v>
      </c>
      <c r="B23" t="s">
        <v>434</v>
      </c>
    </row>
    <row r="24" spans="1:6" x14ac:dyDescent="0.3">
      <c r="A24" t="s">
        <v>435</v>
      </c>
      <c r="B24" t="s">
        <v>436</v>
      </c>
    </row>
    <row r="25" spans="1:6" x14ac:dyDescent="0.3">
      <c r="A25" t="s">
        <v>437</v>
      </c>
      <c r="B25" t="s">
        <v>438</v>
      </c>
    </row>
    <row r="26" spans="1:6" x14ac:dyDescent="0.3">
      <c r="A26" t="s">
        <v>439</v>
      </c>
      <c r="B26" t="s">
        <v>440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F06B8-739A-4DCC-9B6F-2B6AC0031BE6}">
  <dimension ref="A1:E55"/>
  <sheetViews>
    <sheetView workbookViewId="0"/>
  </sheetViews>
  <sheetFormatPr defaultRowHeight="14.4" x14ac:dyDescent="0.3"/>
  <cols>
    <col min="1" max="1" width="50.6640625" customWidth="1"/>
    <col min="2" max="2" width="14.6640625" customWidth="1"/>
    <col min="3" max="3" width="22.6640625" customWidth="1"/>
    <col min="4" max="4" width="18.6640625" customWidth="1"/>
    <col min="5" max="5" width="60.6640625" customWidth="1"/>
  </cols>
  <sheetData>
    <row r="1" spans="1:5" x14ac:dyDescent="0.3">
      <c r="A1" t="s">
        <v>449</v>
      </c>
    </row>
    <row r="3" spans="1:5" x14ac:dyDescent="0.3">
      <c r="A3" s="52" t="s">
        <v>450</v>
      </c>
      <c r="B3" s="52" t="s">
        <v>247</v>
      </c>
      <c r="C3" s="52" t="s">
        <v>451</v>
      </c>
      <c r="D3" s="52" t="s">
        <v>452</v>
      </c>
      <c r="E3" s="52" t="s">
        <v>453</v>
      </c>
    </row>
    <row r="4" spans="1:5" x14ac:dyDescent="0.3">
      <c r="A4" t="s">
        <v>454</v>
      </c>
      <c r="B4" s="56">
        <f>Space_Summary!B14-Space_Summary!B10-Space_Summary!B11-Space_Summary!B5</f>
        <v>957.59375</v>
      </c>
      <c r="C4" s="56">
        <v>8500</v>
      </c>
      <c r="D4" s="56">
        <f>B4*C4</f>
        <v>8139546.875</v>
      </c>
      <c r="E4" t="s">
        <v>455</v>
      </c>
    </row>
    <row r="5" spans="1:5" x14ac:dyDescent="0.3">
      <c r="A5" t="s">
        <v>456</v>
      </c>
      <c r="B5" s="56">
        <f>Space_Summary!B10</f>
        <v>216</v>
      </c>
      <c r="C5" s="56">
        <v>12000</v>
      </c>
      <c r="D5" s="56">
        <f>B5*C5</f>
        <v>2592000</v>
      </c>
      <c r="E5" t="s">
        <v>457</v>
      </c>
    </row>
    <row r="6" spans="1:5" x14ac:dyDescent="0.3">
      <c r="A6" t="s">
        <v>458</v>
      </c>
      <c r="B6" s="56">
        <f>Space_Summary!B11</f>
        <v>203</v>
      </c>
      <c r="C6" s="56">
        <v>10000</v>
      </c>
      <c r="D6" s="56">
        <f>B6*C6</f>
        <v>2030000</v>
      </c>
      <c r="E6" t="s">
        <v>457</v>
      </c>
    </row>
    <row r="7" spans="1:5" x14ac:dyDescent="0.3">
      <c r="A7" t="s">
        <v>459</v>
      </c>
      <c r="B7" s="56">
        <f>Space_Summary!B5</f>
        <v>135</v>
      </c>
      <c r="C7" s="56">
        <v>18000</v>
      </c>
      <c r="D7" s="56">
        <f>B7*C7</f>
        <v>2430000</v>
      </c>
      <c r="E7" t="s">
        <v>460</v>
      </c>
    </row>
    <row r="8" spans="1:5" x14ac:dyDescent="0.3">
      <c r="A8" t="s">
        <v>461</v>
      </c>
      <c r="B8" s="56">
        <f>Parking!B10</f>
        <v>2198</v>
      </c>
      <c r="C8" s="56">
        <v>1200</v>
      </c>
      <c r="D8" s="56">
        <f>B8*C8</f>
        <v>2637600</v>
      </c>
      <c r="E8" t="s">
        <v>457</v>
      </c>
    </row>
    <row r="9" spans="1:5" x14ac:dyDescent="0.3">
      <c r="A9" s="52" t="s">
        <v>462</v>
      </c>
      <c r="D9" s="57">
        <f>SUM(D4:D8)</f>
        <v>17829146.875</v>
      </c>
    </row>
    <row r="10" spans="1:5" x14ac:dyDescent="0.3">
      <c r="D10" s="56"/>
    </row>
    <row r="11" spans="1:5" x14ac:dyDescent="0.3">
      <c r="A11" s="52" t="s">
        <v>463</v>
      </c>
    </row>
    <row r="12" spans="1:5" x14ac:dyDescent="0.3">
      <c r="A12" s="52" t="s">
        <v>464</v>
      </c>
      <c r="B12" s="52" t="s">
        <v>465</v>
      </c>
      <c r="C12" s="52" t="s">
        <v>466</v>
      </c>
      <c r="D12" s="52" t="s">
        <v>452</v>
      </c>
      <c r="E12" s="52" t="s">
        <v>467</v>
      </c>
    </row>
    <row r="13" spans="1:5" x14ac:dyDescent="0.3">
      <c r="A13" t="s">
        <v>557</v>
      </c>
      <c r="B13">
        <f>Capacity!M4</f>
        <v>2</v>
      </c>
      <c r="C13">
        <v>350000</v>
      </c>
      <c r="D13" s="56">
        <f t="shared" ref="D13:D31" si="0">B13*C13</f>
        <v>700000</v>
      </c>
      <c r="E13" t="s">
        <v>558</v>
      </c>
    </row>
    <row r="14" spans="1:5" x14ac:dyDescent="0.3">
      <c r="A14" t="s">
        <v>559</v>
      </c>
      <c r="B14">
        <f>Capacity!M5</f>
        <v>2</v>
      </c>
      <c r="C14">
        <v>180000</v>
      </c>
      <c r="D14" s="56">
        <f t="shared" si="0"/>
        <v>360000</v>
      </c>
      <c r="E14" t="s">
        <v>560</v>
      </c>
    </row>
    <row r="15" spans="1:5" x14ac:dyDescent="0.3">
      <c r="A15" t="s">
        <v>561</v>
      </c>
      <c r="B15">
        <f>Capacity!M6</f>
        <v>1</v>
      </c>
      <c r="C15">
        <v>250000</v>
      </c>
      <c r="D15" s="56">
        <f t="shared" si="0"/>
        <v>250000</v>
      </c>
      <c r="E15" t="s">
        <v>562</v>
      </c>
    </row>
    <row r="16" spans="1:5" x14ac:dyDescent="0.3">
      <c r="A16" t="s">
        <v>563</v>
      </c>
      <c r="B16">
        <f>Capacity!M7</f>
        <v>4</v>
      </c>
      <c r="C16">
        <v>380000</v>
      </c>
      <c r="D16" s="56">
        <f t="shared" si="0"/>
        <v>1520000</v>
      </c>
      <c r="E16" t="s">
        <v>564</v>
      </c>
    </row>
    <row r="17" spans="1:5" x14ac:dyDescent="0.3">
      <c r="A17" t="s">
        <v>565</v>
      </c>
      <c r="B17">
        <f>Capacity!M8</f>
        <v>1</v>
      </c>
      <c r="C17">
        <v>450000</v>
      </c>
      <c r="D17" s="56">
        <f t="shared" si="0"/>
        <v>450000</v>
      </c>
      <c r="E17" t="s">
        <v>566</v>
      </c>
    </row>
    <row r="18" spans="1:5" x14ac:dyDescent="0.3">
      <c r="A18" t="s">
        <v>567</v>
      </c>
      <c r="B18">
        <f>Capacity!M9</f>
        <v>1</v>
      </c>
      <c r="C18">
        <v>300000</v>
      </c>
      <c r="D18" s="56">
        <f t="shared" si="0"/>
        <v>300000</v>
      </c>
      <c r="E18" t="s">
        <v>568</v>
      </c>
    </row>
    <row r="19" spans="1:5" x14ac:dyDescent="0.3">
      <c r="A19" t="s">
        <v>569</v>
      </c>
      <c r="B19">
        <f>Capacity!M10</f>
        <v>8</v>
      </c>
      <c r="C19">
        <v>280000</v>
      </c>
      <c r="D19" s="56">
        <f t="shared" si="0"/>
        <v>2240000</v>
      </c>
      <c r="E19" t="s">
        <v>570</v>
      </c>
    </row>
    <row r="20" spans="1:5" x14ac:dyDescent="0.3">
      <c r="A20" t="s">
        <v>571</v>
      </c>
      <c r="B20">
        <f>Capacity!M11</f>
        <v>4</v>
      </c>
      <c r="C20">
        <v>220000</v>
      </c>
      <c r="D20" s="56">
        <f t="shared" si="0"/>
        <v>880000</v>
      </c>
      <c r="E20" t="s">
        <v>572</v>
      </c>
    </row>
    <row r="21" spans="1:5" x14ac:dyDescent="0.3">
      <c r="A21" t="s">
        <v>573</v>
      </c>
      <c r="B21">
        <f>Capacity!M12</f>
        <v>1</v>
      </c>
      <c r="C21">
        <v>280000</v>
      </c>
      <c r="D21" s="56">
        <f t="shared" si="0"/>
        <v>280000</v>
      </c>
      <c r="E21" t="s">
        <v>566</v>
      </c>
    </row>
    <row r="22" spans="1:5" x14ac:dyDescent="0.3">
      <c r="A22" t="s">
        <v>574</v>
      </c>
      <c r="B22">
        <f>Capacity!M13</f>
        <v>1</v>
      </c>
      <c r="C22">
        <v>180000</v>
      </c>
      <c r="D22" s="56">
        <f t="shared" si="0"/>
        <v>180000</v>
      </c>
      <c r="E22" t="s">
        <v>568</v>
      </c>
    </row>
    <row r="23" spans="1:5" x14ac:dyDescent="0.3">
      <c r="A23" t="s">
        <v>575</v>
      </c>
      <c r="B23">
        <f>Capacity!M14</f>
        <v>1</v>
      </c>
      <c r="C23">
        <v>60000</v>
      </c>
      <c r="D23" s="56">
        <f t="shared" si="0"/>
        <v>60000</v>
      </c>
      <c r="E23" t="s">
        <v>576</v>
      </c>
    </row>
    <row r="24" spans="1:5" x14ac:dyDescent="0.3">
      <c r="A24" t="s">
        <v>577</v>
      </c>
      <c r="B24">
        <f>Capacity!M15</f>
        <v>4</v>
      </c>
      <c r="C24">
        <v>120000</v>
      </c>
      <c r="D24" s="56">
        <f t="shared" si="0"/>
        <v>480000</v>
      </c>
      <c r="E24" t="s">
        <v>578</v>
      </c>
    </row>
    <row r="25" spans="1:5" x14ac:dyDescent="0.3">
      <c r="A25" t="s">
        <v>579</v>
      </c>
      <c r="B25">
        <f>Capacity!M16</f>
        <v>2</v>
      </c>
      <c r="C25">
        <v>40000</v>
      </c>
      <c r="D25" s="56">
        <f t="shared" si="0"/>
        <v>80000</v>
      </c>
      <c r="E25" t="s">
        <v>580</v>
      </c>
    </row>
    <row r="26" spans="1:5" x14ac:dyDescent="0.3">
      <c r="A26" t="s">
        <v>581</v>
      </c>
      <c r="B26">
        <f>Capacity!M17</f>
        <v>2</v>
      </c>
      <c r="C26">
        <v>35000</v>
      </c>
      <c r="D26" s="56">
        <f t="shared" si="0"/>
        <v>70000</v>
      </c>
      <c r="E26" t="s">
        <v>580</v>
      </c>
    </row>
    <row r="27" spans="1:5" x14ac:dyDescent="0.3">
      <c r="A27" t="s">
        <v>582</v>
      </c>
      <c r="B27">
        <f>'Equipment-dep'!B15</f>
        <v>1</v>
      </c>
      <c r="C27">
        <v>950000</v>
      </c>
      <c r="D27" s="56">
        <f t="shared" si="0"/>
        <v>950000</v>
      </c>
      <c r="E27" t="s">
        <v>583</v>
      </c>
    </row>
    <row r="28" spans="1:5" x14ac:dyDescent="0.3">
      <c r="A28" t="s">
        <v>584</v>
      </c>
      <c r="B28">
        <v>1</v>
      </c>
      <c r="C28">
        <v>650000</v>
      </c>
      <c r="D28" s="56">
        <f t="shared" si="0"/>
        <v>650000</v>
      </c>
      <c r="E28" t="s">
        <v>585</v>
      </c>
    </row>
    <row r="29" spans="1:5" x14ac:dyDescent="0.3">
      <c r="A29" t="s">
        <v>586</v>
      </c>
      <c r="B29">
        <f>'Equipment-dep'!B9</f>
        <v>2</v>
      </c>
      <c r="C29">
        <v>2800000</v>
      </c>
      <c r="D29" s="56">
        <f t="shared" si="0"/>
        <v>5600000</v>
      </c>
      <c r="E29" t="s">
        <v>587</v>
      </c>
    </row>
    <row r="30" spans="1:5" x14ac:dyDescent="0.3">
      <c r="A30" t="s">
        <v>588</v>
      </c>
      <c r="B30">
        <v>3</v>
      </c>
      <c r="C30">
        <v>450000</v>
      </c>
      <c r="D30" s="56">
        <f t="shared" si="0"/>
        <v>1350000</v>
      </c>
      <c r="E30" t="s">
        <v>589</v>
      </c>
    </row>
    <row r="31" spans="1:5" x14ac:dyDescent="0.3">
      <c r="A31" t="s">
        <v>590</v>
      </c>
      <c r="B31">
        <v>8</v>
      </c>
      <c r="C31">
        <v>18000</v>
      </c>
      <c r="D31" s="56">
        <f t="shared" si="0"/>
        <v>144000</v>
      </c>
      <c r="E31" t="s">
        <v>591</v>
      </c>
    </row>
    <row r="32" spans="1:5" x14ac:dyDescent="0.3">
      <c r="A32" s="52" t="s">
        <v>468</v>
      </c>
      <c r="D32" s="57">
        <f>SUM(D13:D31)</f>
        <v>16544000</v>
      </c>
    </row>
    <row r="34" spans="1:5" x14ac:dyDescent="0.3">
      <c r="A34" s="52" t="s">
        <v>592</v>
      </c>
      <c r="D34" s="58">
        <f>D9+D32</f>
        <v>34373146.875</v>
      </c>
    </row>
    <row r="36" spans="1:5" x14ac:dyDescent="0.3">
      <c r="A36" s="52" t="s">
        <v>469</v>
      </c>
    </row>
    <row r="37" spans="1:5" x14ac:dyDescent="0.3">
      <c r="A37" s="52" t="s">
        <v>470</v>
      </c>
      <c r="B37" s="52" t="s">
        <v>471</v>
      </c>
      <c r="C37" s="52" t="s">
        <v>472</v>
      </c>
      <c r="D37" s="52" t="s">
        <v>473</v>
      </c>
      <c r="E37" s="52" t="s">
        <v>474</v>
      </c>
    </row>
    <row r="38" spans="1:5" x14ac:dyDescent="0.3">
      <c r="A38" t="s">
        <v>593</v>
      </c>
      <c r="B38" t="s">
        <v>594</v>
      </c>
      <c r="C38" t="s">
        <v>594</v>
      </c>
      <c r="D38">
        <v>9</v>
      </c>
      <c r="E38" t="s">
        <v>595</v>
      </c>
    </row>
    <row r="39" spans="1:5" x14ac:dyDescent="0.3">
      <c r="A39" t="s">
        <v>596</v>
      </c>
      <c r="B39" t="s">
        <v>597</v>
      </c>
      <c r="C39" t="s">
        <v>594</v>
      </c>
      <c r="D39">
        <v>6</v>
      </c>
      <c r="E39" t="s">
        <v>598</v>
      </c>
    </row>
    <row r="40" spans="1:5" x14ac:dyDescent="0.3">
      <c r="A40" t="s">
        <v>599</v>
      </c>
      <c r="B40" t="s">
        <v>594</v>
      </c>
      <c r="C40" t="s">
        <v>597</v>
      </c>
      <c r="D40">
        <v>6</v>
      </c>
      <c r="E40" t="s">
        <v>600</v>
      </c>
    </row>
    <row r="41" spans="1:5" x14ac:dyDescent="0.3">
      <c r="A41" t="s">
        <v>601</v>
      </c>
      <c r="B41" t="s">
        <v>597</v>
      </c>
      <c r="C41" t="s">
        <v>594</v>
      </c>
      <c r="D41">
        <v>6</v>
      </c>
      <c r="E41" t="s">
        <v>602</v>
      </c>
    </row>
    <row r="42" spans="1:5" x14ac:dyDescent="0.3">
      <c r="A42" t="s">
        <v>603</v>
      </c>
      <c r="B42" t="s">
        <v>597</v>
      </c>
      <c r="C42" t="s">
        <v>597</v>
      </c>
      <c r="D42">
        <v>4</v>
      </c>
      <c r="E42" t="s">
        <v>604</v>
      </c>
    </row>
    <row r="43" spans="1:5" x14ac:dyDescent="0.3">
      <c r="A43" t="s">
        <v>605</v>
      </c>
      <c r="B43" t="s">
        <v>606</v>
      </c>
      <c r="C43" t="s">
        <v>594</v>
      </c>
      <c r="D43">
        <v>3</v>
      </c>
      <c r="E43" t="s">
        <v>607</v>
      </c>
    </row>
    <row r="44" spans="1:5" x14ac:dyDescent="0.3">
      <c r="A44" t="s">
        <v>608</v>
      </c>
      <c r="B44" t="s">
        <v>597</v>
      </c>
      <c r="C44" t="s">
        <v>597</v>
      </c>
      <c r="D44">
        <v>4</v>
      </c>
      <c r="E44" t="s">
        <v>609</v>
      </c>
    </row>
    <row r="45" spans="1:5" x14ac:dyDescent="0.3">
      <c r="A45" t="s">
        <v>610</v>
      </c>
      <c r="B45" t="s">
        <v>597</v>
      </c>
      <c r="C45" t="s">
        <v>594</v>
      </c>
      <c r="D45">
        <v>6</v>
      </c>
      <c r="E45" t="s">
        <v>611</v>
      </c>
    </row>
    <row r="47" spans="1:5" x14ac:dyDescent="0.3">
      <c r="A47" s="52" t="s">
        <v>475</v>
      </c>
    </row>
    <row r="48" spans="1:5" x14ac:dyDescent="0.3">
      <c r="A48" s="52" t="s">
        <v>476</v>
      </c>
      <c r="B48" s="52" t="s">
        <v>477</v>
      </c>
      <c r="C48" s="52" t="s">
        <v>478</v>
      </c>
    </row>
    <row r="49" spans="1:3" x14ac:dyDescent="0.3">
      <c r="A49" t="s">
        <v>612</v>
      </c>
      <c r="B49" t="s">
        <v>613</v>
      </c>
      <c r="C49" t="s">
        <v>614</v>
      </c>
    </row>
    <row r="50" spans="1:3" x14ac:dyDescent="0.3">
      <c r="A50" t="s">
        <v>615</v>
      </c>
      <c r="B50" t="s">
        <v>616</v>
      </c>
      <c r="C50" t="s">
        <v>617</v>
      </c>
    </row>
    <row r="51" spans="1:3" x14ac:dyDescent="0.3">
      <c r="A51" t="s">
        <v>618</v>
      </c>
      <c r="B51" t="s">
        <v>619</v>
      </c>
      <c r="C51" t="s">
        <v>620</v>
      </c>
    </row>
    <row r="52" spans="1:3" x14ac:dyDescent="0.3">
      <c r="A52" t="s">
        <v>621</v>
      </c>
      <c r="B52" t="s">
        <v>622</v>
      </c>
      <c r="C52" t="s">
        <v>623</v>
      </c>
    </row>
    <row r="53" spans="1:3" x14ac:dyDescent="0.3">
      <c r="A53" t="s">
        <v>624</v>
      </c>
      <c r="B53" t="s">
        <v>625</v>
      </c>
      <c r="C53" t="s">
        <v>626</v>
      </c>
    </row>
    <row r="54" spans="1:3" x14ac:dyDescent="0.3">
      <c r="A54" t="s">
        <v>627</v>
      </c>
      <c r="B54" t="s">
        <v>628</v>
      </c>
      <c r="C54" t="s">
        <v>629</v>
      </c>
    </row>
    <row r="55" spans="1:3" x14ac:dyDescent="0.3">
      <c r="A55" t="s">
        <v>630</v>
      </c>
      <c r="B55" t="s">
        <v>631</v>
      </c>
      <c r="C55" t="s">
        <v>632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FA77-F31D-4AAF-BF8B-1DD55A6DB9DF}">
  <dimension ref="A1:G19"/>
  <sheetViews>
    <sheetView tabSelected="1" workbookViewId="0"/>
  </sheetViews>
  <sheetFormatPr defaultRowHeight="14.4" x14ac:dyDescent="0.3"/>
  <cols>
    <col min="1" max="1" width="6.6640625" customWidth="1"/>
    <col min="2" max="2" width="42.6640625" customWidth="1"/>
    <col min="3" max="3" width="50.6640625" customWidth="1"/>
    <col min="4" max="4" width="16.6640625" customWidth="1"/>
    <col min="5" max="5" width="14.6640625" customWidth="1"/>
    <col min="6" max="6" width="38.6640625" customWidth="1"/>
    <col min="7" max="7" width="14.6640625" customWidth="1"/>
  </cols>
  <sheetData>
    <row r="1" spans="1:7" s="11" customFormat="1" ht="216" x14ac:dyDescent="0.3">
      <c r="A1" s="11" t="s">
        <v>479</v>
      </c>
    </row>
    <row r="2" spans="1:7" s="11" customFormat="1" ht="302.39999999999998" x14ac:dyDescent="0.3">
      <c r="A2" s="11" t="s">
        <v>488</v>
      </c>
    </row>
    <row r="3" spans="1:7" s="11" customFormat="1" x14ac:dyDescent="0.3"/>
    <row r="4" spans="1:7" s="11" customFormat="1" x14ac:dyDescent="0.3">
      <c r="A4" s="59" t="s">
        <v>480</v>
      </c>
      <c r="B4" s="59" t="s">
        <v>481</v>
      </c>
      <c r="C4" s="59" t="s">
        <v>482</v>
      </c>
      <c r="D4" s="59" t="s">
        <v>483</v>
      </c>
      <c r="E4" s="59" t="s">
        <v>484</v>
      </c>
      <c r="F4" s="59" t="s">
        <v>485</v>
      </c>
      <c r="G4" s="59" t="s">
        <v>486</v>
      </c>
    </row>
    <row r="5" spans="1:7" s="11" customFormat="1" x14ac:dyDescent="0.3">
      <c r="A5" s="11" t="s">
        <v>489</v>
      </c>
      <c r="B5" s="11" t="s">
        <v>490</v>
      </c>
      <c r="C5" s="11" t="s">
        <v>491</v>
      </c>
      <c r="D5" s="11">
        <f>Demand!B6</f>
        <v>1819</v>
      </c>
      <c r="E5" s="11" t="s">
        <v>492</v>
      </c>
      <c r="F5" s="11" t="s">
        <v>493</v>
      </c>
      <c r="G5" s="11" t="s">
        <v>494</v>
      </c>
    </row>
    <row r="6" spans="1:7" s="11" customFormat="1" x14ac:dyDescent="0.3">
      <c r="A6" s="11" t="s">
        <v>495</v>
      </c>
      <c r="B6" s="11" t="s">
        <v>496</v>
      </c>
      <c r="C6" s="11" t="s">
        <v>497</v>
      </c>
      <c r="D6" s="11">
        <f>Inputs!C10</f>
        <v>480</v>
      </c>
      <c r="E6" s="11">
        <v>6.3</v>
      </c>
      <c r="F6" s="11" t="s">
        <v>498</v>
      </c>
      <c r="G6" s="11" t="s">
        <v>494</v>
      </c>
    </row>
    <row r="7" spans="1:7" s="11" customFormat="1" x14ac:dyDescent="0.3">
      <c r="A7" s="11" t="s">
        <v>499</v>
      </c>
      <c r="B7" s="11" t="s">
        <v>500</v>
      </c>
      <c r="C7" s="11" t="s">
        <v>501</v>
      </c>
      <c r="D7" s="11">
        <f>Capacity!G4</f>
        <v>3829.4736842105262</v>
      </c>
      <c r="E7" s="11" t="s">
        <v>492</v>
      </c>
      <c r="F7" s="11" t="s">
        <v>502</v>
      </c>
      <c r="G7" s="11" t="s">
        <v>494</v>
      </c>
    </row>
    <row r="8" spans="1:7" s="11" customFormat="1" ht="28.8" x14ac:dyDescent="0.3">
      <c r="A8" s="11" t="s">
        <v>503</v>
      </c>
      <c r="B8" s="11" t="s">
        <v>504</v>
      </c>
      <c r="C8" s="11" t="s">
        <v>505</v>
      </c>
      <c r="D8" s="11">
        <f>Space_Summary!B5</f>
        <v>135</v>
      </c>
      <c r="E8" s="11" t="s">
        <v>506</v>
      </c>
      <c r="F8" s="11" t="s">
        <v>507</v>
      </c>
      <c r="G8" s="11" t="s">
        <v>494</v>
      </c>
    </row>
    <row r="9" spans="1:7" s="11" customFormat="1" x14ac:dyDescent="0.3">
      <c r="A9" s="11" t="s">
        <v>508</v>
      </c>
      <c r="B9" s="11" t="s">
        <v>509</v>
      </c>
      <c r="C9" s="11" t="s">
        <v>510</v>
      </c>
      <c r="D9" s="11">
        <f>Inventory_Pack!B4</f>
        <v>18190</v>
      </c>
      <c r="E9" s="11" t="s">
        <v>511</v>
      </c>
      <c r="F9" s="11" t="s">
        <v>512</v>
      </c>
      <c r="G9" s="11" t="s">
        <v>494</v>
      </c>
    </row>
    <row r="10" spans="1:7" s="11" customFormat="1" x14ac:dyDescent="0.3">
      <c r="A10" s="11" t="s">
        <v>513</v>
      </c>
      <c r="B10" s="11" t="s">
        <v>514</v>
      </c>
      <c r="C10" s="11" t="s">
        <v>515</v>
      </c>
      <c r="D10" s="11">
        <f>Inventory_Pack!B5</f>
        <v>36380</v>
      </c>
      <c r="E10" s="11" t="s">
        <v>511</v>
      </c>
      <c r="F10" s="11" t="s">
        <v>516</v>
      </c>
      <c r="G10" s="11" t="s">
        <v>494</v>
      </c>
    </row>
    <row r="11" spans="1:7" s="11" customFormat="1" x14ac:dyDescent="0.3">
      <c r="A11" s="11" t="s">
        <v>517</v>
      </c>
      <c r="B11" s="11" t="s">
        <v>518</v>
      </c>
      <c r="C11" s="11" t="s">
        <v>519</v>
      </c>
      <c r="D11" s="11">
        <f>Space_Summary!B15</f>
        <v>151</v>
      </c>
      <c r="E11" s="11" t="s">
        <v>520</v>
      </c>
      <c r="F11" s="11" t="s">
        <v>521</v>
      </c>
      <c r="G11" s="11" t="s">
        <v>494</v>
      </c>
    </row>
    <row r="12" spans="1:7" s="11" customFormat="1" x14ac:dyDescent="0.3">
      <c r="A12" s="11" t="s">
        <v>522</v>
      </c>
      <c r="B12" s="11" t="s">
        <v>523</v>
      </c>
      <c r="C12" s="11" t="s">
        <v>524</v>
      </c>
      <c r="D12" s="11">
        <f>Personnel!B17</f>
        <v>34</v>
      </c>
      <c r="E12" s="11" t="s">
        <v>525</v>
      </c>
      <c r="F12" s="11" t="s">
        <v>526</v>
      </c>
      <c r="G12" s="11" t="s">
        <v>494</v>
      </c>
    </row>
    <row r="13" spans="1:7" s="11" customFormat="1" x14ac:dyDescent="0.3">
      <c r="A13" s="11" t="s">
        <v>527</v>
      </c>
      <c r="B13" s="11" t="s">
        <v>528</v>
      </c>
      <c r="C13" s="11" t="s">
        <v>529</v>
      </c>
      <c r="D13" s="11">
        <f>Parking!B8</f>
        <v>5</v>
      </c>
      <c r="E13" s="11" t="s">
        <v>525</v>
      </c>
      <c r="F13" s="11" t="s">
        <v>530</v>
      </c>
      <c r="G13" s="11" t="s">
        <v>494</v>
      </c>
    </row>
    <row r="14" spans="1:7" s="11" customFormat="1" x14ac:dyDescent="0.3">
      <c r="A14" s="11" t="s">
        <v>531</v>
      </c>
      <c r="B14" s="11" t="s">
        <v>532</v>
      </c>
      <c r="C14" s="11" t="s">
        <v>533</v>
      </c>
      <c r="D14" s="11">
        <f>Space_Summary!B6</f>
        <v>70</v>
      </c>
      <c r="E14" s="11">
        <v>6.5</v>
      </c>
      <c r="F14" s="11" t="s">
        <v>534</v>
      </c>
      <c r="G14" s="11" t="s">
        <v>494</v>
      </c>
    </row>
    <row r="15" spans="1:7" s="11" customFormat="1" x14ac:dyDescent="0.3">
      <c r="A15" s="11" t="s">
        <v>535</v>
      </c>
      <c r="B15" s="11" t="s">
        <v>536</v>
      </c>
      <c r="C15" s="11" t="s">
        <v>537</v>
      </c>
      <c r="D15" s="11">
        <f>Evaluation!F11</f>
        <v>4.1000000000000005</v>
      </c>
      <c r="E15" s="11" t="s">
        <v>538</v>
      </c>
      <c r="F15" s="11" t="s">
        <v>539</v>
      </c>
      <c r="G15" s="11" t="s">
        <v>494</v>
      </c>
    </row>
    <row r="16" spans="1:7" s="11" customFormat="1" ht="28.8" x14ac:dyDescent="0.3">
      <c r="A16" s="11" t="s">
        <v>540</v>
      </c>
      <c r="B16" s="11" t="s">
        <v>541</v>
      </c>
      <c r="C16" s="11" t="s">
        <v>542</v>
      </c>
      <c r="D16" s="11">
        <f>Space_Summary!B16</f>
        <v>1663</v>
      </c>
      <c r="E16" s="11">
        <v>9</v>
      </c>
      <c r="F16" s="11" t="s">
        <v>543</v>
      </c>
      <c r="G16" s="11" t="s">
        <v>494</v>
      </c>
    </row>
    <row r="17" spans="1:7" s="11" customFormat="1" ht="28.8" x14ac:dyDescent="0.3">
      <c r="A17" s="11" t="s">
        <v>544</v>
      </c>
      <c r="B17" s="11" t="s">
        <v>545</v>
      </c>
      <c r="C17" s="11" t="s">
        <v>546</v>
      </c>
      <c r="D17" s="11">
        <f>Personnel!B18</f>
        <v>58</v>
      </c>
      <c r="E17" s="11" t="s">
        <v>525</v>
      </c>
      <c r="F17" s="11" t="s">
        <v>547</v>
      </c>
      <c r="G17" s="11" t="s">
        <v>494</v>
      </c>
    </row>
    <row r="18" spans="1:7" s="11" customFormat="1" x14ac:dyDescent="0.3">
      <c r="A18" s="11" t="s">
        <v>548</v>
      </c>
      <c r="B18" s="11" t="s">
        <v>549</v>
      </c>
      <c r="C18" s="11" t="s">
        <v>550</v>
      </c>
      <c r="D18" s="11" t="s">
        <v>37</v>
      </c>
      <c r="E18" s="11" t="s">
        <v>551</v>
      </c>
      <c r="F18" s="11" t="s">
        <v>37</v>
      </c>
      <c r="G18" s="11" t="s">
        <v>494</v>
      </c>
    </row>
    <row r="19" spans="1:7" s="11" customFormat="1" x14ac:dyDescent="0.3">
      <c r="A19" s="11" t="s">
        <v>552</v>
      </c>
      <c r="B19" s="11" t="s">
        <v>553</v>
      </c>
      <c r="C19" s="11" t="s">
        <v>554</v>
      </c>
      <c r="D19" s="11" t="s">
        <v>37</v>
      </c>
      <c r="E19" s="11" t="s">
        <v>555</v>
      </c>
      <c r="F19" s="11" t="s">
        <v>37</v>
      </c>
      <c r="G19" s="11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Inputs</vt:lpstr>
      <vt:lpstr>Demand</vt:lpstr>
      <vt:lpstr>Capacity</vt:lpstr>
      <vt:lpstr>Equipment-dep</vt:lpstr>
      <vt:lpstr>RawMaterials</vt:lpstr>
      <vt:lpstr>Inventory_Pack</vt:lpstr>
      <vt:lpstr>Storage_3D</vt:lpstr>
      <vt:lpstr>Personnel</vt:lpstr>
      <vt:lpstr>Parking</vt:lpstr>
      <vt:lpstr>Space_Summary</vt:lpstr>
      <vt:lpstr>Machinery</vt:lpstr>
      <vt:lpstr>Evaluation</vt:lpstr>
      <vt:lpstr>Report Map - Ch6</vt:lpstr>
      <vt:lpstr>Bottleneck</vt:lpstr>
      <vt:lpstr>BusinessCase</vt:lpstr>
      <vt:lpstr>Traceability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2026-06-08T12:57:45Z</dcterms:created>
  <dcterms:modified xsi:type="dcterms:W3CDTF">2026-07-03T21:23:06Z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3ff2d6-7c2c-441b-97b8-52c111077da7_Enabled">
    <vt:lpwstr>true</vt:lpwstr>
  </property>
  <property fmtid="{D5CDD505-2E9C-101B-9397-08002B2CF9AE}" pid="3" name="MSIP_Label_fb3ff2d6-7c2c-441b-97b8-52c111077da7_SetDate">
    <vt:lpwstr>2026-06-11T15:18:22Z</vt:lpwstr>
  </property>
  <property fmtid="{D5CDD505-2E9C-101B-9397-08002B2CF9AE}" pid="4" name="MSIP_Label_fb3ff2d6-7c2c-441b-97b8-52c111077da7_Method">
    <vt:lpwstr>Standard</vt:lpwstr>
  </property>
  <property fmtid="{D5CDD505-2E9C-101B-9397-08002B2CF9AE}" pid="5" name="MSIP_Label_fb3ff2d6-7c2c-441b-97b8-52c111077da7_Name">
    <vt:lpwstr>fb3ff2d6-7c2c-441b-97b8-52c111077da7</vt:lpwstr>
  </property>
  <property fmtid="{D5CDD505-2E9C-101B-9397-08002B2CF9AE}" pid="6" name="MSIP_Label_fb3ff2d6-7c2c-441b-97b8-52c111077da7_SiteId">
    <vt:lpwstr>0b1d23d8-10d1-4093-8cb7-fd0bb32f81e1</vt:lpwstr>
  </property>
  <property fmtid="{D5CDD505-2E9C-101B-9397-08002B2CF9AE}" pid="7" name="MSIP_Label_fb3ff2d6-7c2c-441b-97b8-52c111077da7_ActionId">
    <vt:lpwstr>ac333147-5278-4d7a-8b02-19c3ce2546f6</vt:lpwstr>
  </property>
  <property fmtid="{D5CDD505-2E9C-101B-9397-08002B2CF9AE}" pid="8" name="MSIP_Label_fb3ff2d6-7c2c-441b-97b8-52c111077da7_ContentBits">
    <vt:lpwstr>0</vt:lpwstr>
  </property>
  <property fmtid="{D5CDD505-2E9C-101B-9397-08002B2CF9AE}" pid="9" name="MSIP_Label_fb3ff2d6-7c2c-441b-97b8-52c111077da7_Tag">
    <vt:lpwstr>10, 3, 0, 1</vt:lpwstr>
  </property>
</Properties>
</file>