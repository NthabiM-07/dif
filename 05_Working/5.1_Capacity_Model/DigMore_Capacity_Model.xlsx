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Capacity" sheetId="2" state="visible" r:id="rId4"/>
    <sheet name="Equipment-dep" sheetId="3" state="visible" r:id="rId5"/>
    <sheet name="Materials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<sst xmlns="http://schemas.openxmlformats.org/spreadsheetml/2006/main" count="221" uniqueCount="160">
  <si>
    <t xml:space="preserve">DigMore Folding Mini Shovel - Capacity Model: Inputs &amp; Assumptions</t>
  </si>
  <si>
    <t xml:space="preserve">Blue = input you can change; black = formula. Yellow = key assumption to confirm.</t>
  </si>
  <si>
    <t xml:space="preserve">Parameter</t>
  </si>
  <si>
    <t xml:space="preserve">Value</t>
  </si>
  <si>
    <t xml:space="preserve">Unit</t>
  </si>
  <si>
    <t xml:space="preserve">Note / source</t>
  </si>
  <si>
    <t xml:space="preserve">Annual demand</t>
  </si>
  <si>
    <t xml:space="preserve">shovels/yr</t>
  </si>
  <si>
    <t xml:space="preserve">2026 brief</t>
  </si>
  <si>
    <t xml:space="preserve">Workdays per year</t>
  </si>
  <si>
    <t xml:space="preserve">days</t>
  </si>
  <si>
    <t xml:space="preserve">Daily demand (good)</t>
  </si>
  <si>
    <t xml:space="preserve">shovels/day</t>
  </si>
  <si>
    <t xml:space="preserve">rounded up</t>
  </si>
  <si>
    <t xml:space="preserve">Shift length</t>
  </si>
  <si>
    <t xml:space="preserve">min</t>
  </si>
  <si>
    <t xml:space="preserve">9 h shift (brief)</t>
  </si>
  <si>
    <t xml:space="preserve">Breaks</t>
  </si>
  <si>
    <t xml:space="preserve">30 + 15 + 15 (brief)</t>
  </si>
  <si>
    <t xml:space="preserve">Effective time</t>
  </si>
  <si>
    <t xml:space="preserve">min/day</t>
  </si>
  <si>
    <t xml:space="preserve">shift - breaks</t>
  </si>
  <si>
    <t xml:space="preserve">Availability allowance</t>
  </si>
  <si>
    <t xml:space="preserve">fraction</t>
  </si>
  <si>
    <t xml:space="preserve">designer assumption (setup, changeover, stoppages)</t>
  </si>
  <si>
    <t xml:space="preserve">Productive time / machine</t>
  </si>
  <si>
    <t xml:space="preserve">effective x availability</t>
  </si>
  <si>
    <t xml:space="preserve">Takt time</t>
  </si>
  <si>
    <t xml:space="preserve">s/shovel</t>
  </si>
  <si>
    <t xml:space="preserve">effective time / daily demand</t>
  </si>
  <si>
    <t xml:space="preserve">Scrap rate (cutting &amp; stamping)</t>
  </si>
  <si>
    <t xml:space="preserve">2026 brief (those two steps only)</t>
  </si>
  <si>
    <t xml:space="preserve">Yield</t>
  </si>
  <si>
    <t xml:space="preserve">1 - scrap</t>
  </si>
  <si>
    <t xml:space="preserve">Pipes per cut</t>
  </si>
  <si>
    <t xml:space="preserve">pipes</t>
  </si>
  <si>
    <t xml:space="preserve">designer assumption (bundle cutting raises this)</t>
  </si>
  <si>
    <t xml:space="preserve">Operators per machine</t>
  </si>
  <si>
    <t xml:space="preserve">-</t>
  </si>
  <si>
    <t xml:space="preserve">designer assumption (baseline 1:1)</t>
  </si>
  <si>
    <t xml:space="preserve">Packaging cycle (assumed)</t>
  </si>
  <si>
    <t xml:space="preserve">designer assumption (brief: workstation-dependent)</t>
  </si>
  <si>
    <t xml:space="preserve">Tube stock length</t>
  </si>
  <si>
    <t xml:space="preserve">m</t>
  </si>
  <si>
    <t xml:space="preserve">designer assumption (to verify with supplier)</t>
  </si>
  <si>
    <t xml:space="preserve">Handle section length</t>
  </si>
  <si>
    <t xml:space="preserve">2026 brief (150 mm)</t>
  </si>
  <si>
    <t xml:space="preserve">Sections per tube</t>
  </si>
  <si>
    <t xml:space="preserve">sections</t>
  </si>
  <si>
    <t xml:space="preserve">stock length / section length (kerf ignored)</t>
  </si>
  <si>
    <t xml:space="preserve">Heat-treat cycle (assumed)</t>
  </si>
  <si>
    <t xml:space="preserve">h</t>
  </si>
  <si>
    <t xml:space="preserve">T6 ageing 5-8 h; supplier-based (to verify)</t>
  </si>
  <si>
    <t xml:space="preserve">Powder line rate (assumed)</t>
  </si>
  <si>
    <t xml:space="preserve">parts/h</t>
  </si>
  <si>
    <t xml:space="preserve">typical conveyor line; supplier-based (to verify)</t>
  </si>
  <si>
    <t xml:space="preserve">Coated items per shovel</t>
  </si>
  <si>
    <t xml:space="preserve">items</t>
  </si>
  <si>
    <t xml:space="preserve">2 handle sections + 1 head subassembly</t>
  </si>
  <si>
    <t xml:space="preserve">Per-process capacity: machines and operators required</t>
  </si>
  <si>
    <t xml:space="preserve">Machines req. = roundup(process time / productive minutes). Operators at 1 per machine (Inputs). Times from the 2026 brief.</t>
  </si>
  <si>
    <t xml:space="preserve">Process</t>
  </si>
  <si>
    <t xml:space="preserve">Basis</t>
  </si>
  <si>
    <t xml:space="preserve">Units / shovel</t>
  </si>
  <si>
    <t xml:space="preserve">Scrap at step?</t>
  </si>
  <si>
    <t xml:space="preserve">Daily good</t>
  </si>
  <si>
    <t xml:space="preserve">Scrap factor</t>
  </si>
  <si>
    <t xml:space="preserve">Daily gross</t>
  </si>
  <si>
    <t xml:space="preserve">Pieces / op</t>
  </si>
  <si>
    <t xml:space="preserve">Operations / day</t>
  </si>
  <si>
    <t xml:space="preserve">Cycle time (s)</t>
  </si>
  <si>
    <t xml:space="preserve">Process time (min/day)</t>
  </si>
  <si>
    <t xml:space="preserve">Prod. min / machine</t>
  </si>
  <si>
    <t xml:space="preserve">Machines req.</t>
  </si>
  <si>
    <t xml:space="preserve">Utilisation</t>
  </si>
  <si>
    <t xml:space="preserve">Operators</t>
  </si>
  <si>
    <t xml:space="preserve">Note</t>
  </si>
  <si>
    <t xml:space="preserve">Cut handle</t>
  </si>
  <si>
    <t xml:space="preserve">per cut</t>
  </si>
  <si>
    <t xml:space="preserve">Yes</t>
  </si>
  <si>
    <t xml:space="preserve">5% scrap; pipes/cut from equipment</t>
  </si>
  <si>
    <t xml:space="preserve">Internal thread (middle handle)</t>
  </si>
  <si>
    <t xml:space="preserve">per pipe</t>
  </si>
  <si>
    <t xml:space="preserve">No</t>
  </si>
  <si>
    <t xml:space="preserve">1</t>
  </si>
  <si>
    <t xml:space="preserve">brief</t>
  </si>
  <si>
    <t xml:space="preserve">Stamp / form narrowed end (grip)</t>
  </si>
  <si>
    <t xml:space="preserve">Knurl + external thread (grip)</t>
  </si>
  <si>
    <t xml:space="preserve">brief; thread rolling can cut this</t>
  </si>
  <si>
    <t xml:space="preserve">Stamp shovel head</t>
  </si>
  <si>
    <t xml:space="preserve">per part</t>
  </si>
  <si>
    <t xml:space="preserve">5% scrap</t>
  </si>
  <si>
    <t xml:space="preserve">Shape / bend shovel head</t>
  </si>
  <si>
    <t xml:space="preserve">per head</t>
  </si>
  <si>
    <t xml:space="preserve">Sharpen blade</t>
  </si>
  <si>
    <t xml:space="preserve">per shovel</t>
  </si>
  <si>
    <t xml:space="preserve">brief; main bottleneck</t>
  </si>
  <si>
    <t xml:space="preserve">Serrate edge</t>
  </si>
  <si>
    <t xml:space="preserve">Stamp hinge connector</t>
  </si>
  <si>
    <t xml:space="preserve">Bend hinge connector</t>
  </si>
  <si>
    <t xml:space="preserve">Rivet hinge to head</t>
  </si>
  <si>
    <t xml:space="preserve">Hand polish / deburr</t>
  </si>
  <si>
    <t xml:space="preserve">Final assembly</t>
  </si>
  <si>
    <t xml:space="preserve">Packaging (hand, + visual check)</t>
  </si>
  <si>
    <t xml:space="preserve">cycle is a designer assumption</t>
  </si>
  <si>
    <t xml:space="preserve">TOTAL (line processes)</t>
  </si>
  <si>
    <t xml:space="preserve">Equipment-dependent processes (no brief cycle time)</t>
  </si>
  <si>
    <t xml:space="preserve">Powder coating (conveyorised line, enclosed)</t>
  </si>
  <si>
    <t xml:space="preserve">Coated items per day</t>
  </si>
  <si>
    <t xml:space="preserve">items/day</t>
  </si>
  <si>
    <t xml:space="preserve">Assumed line rate</t>
  </si>
  <si>
    <t xml:space="preserve">Hours needed</t>
  </si>
  <si>
    <t xml:space="preserve">h/day</t>
  </si>
  <si>
    <t xml:space="preserve">Productive hours / shift</t>
  </si>
  <si>
    <t xml:space="preserve">Powder lines required</t>
  </si>
  <si>
    <t xml:space="preserve">lines</t>
  </si>
  <si>
    <t xml:space="preserve">Note: at the assumed 600 parts/h the line exceeds one shift; a faster line (about 760 parts/h) or a second line is required. Supplier-based; to verify.</t>
  </si>
  <si>
    <t xml:space="preserve">Heat treatment (T6 ageing, batch oven)</t>
  </si>
  <si>
    <t xml:space="preserve">Subassemblies per day</t>
  </si>
  <si>
    <t xml:space="preserve">Assumed cycle</t>
  </si>
  <si>
    <t xml:space="preserve">h/batch</t>
  </si>
  <si>
    <t xml:space="preserve">Batches within shift</t>
  </si>
  <si>
    <t xml:space="preserve">batches</t>
  </si>
  <si>
    <t xml:space="preserve">Batch size needed (1 oven)</t>
  </si>
  <si>
    <t xml:space="preserve">items/batch</t>
  </si>
  <si>
    <t xml:space="preserve">Note: 1 ageing oven sized to about one day of subassemblies, cycle 5-8 h; oven runs across/after the shift. Supplier-based; to verify.</t>
  </si>
  <si>
    <t xml:space="preserve">Sandblasting (enclosed booth / cabinet)</t>
  </si>
  <si>
    <t xml:space="preserve">Heads per day</t>
  </si>
  <si>
    <t xml:space="preserve">Throughput and booth count: supplier-based estimate required (to verify).</t>
  </si>
  <si>
    <t xml:space="preserve">Raw material throughput (storage 3D sizing in a later section)</t>
  </si>
  <si>
    <t xml:space="preserve">Aluminium round tube</t>
  </si>
  <si>
    <t xml:space="preserve">Sections per shovel</t>
  </si>
  <si>
    <t xml:space="preserve">Good sections per day</t>
  </si>
  <si>
    <t xml:space="preserve">sections/day</t>
  </si>
  <si>
    <t xml:space="preserve">Gross sections per day (scrap)</t>
  </si>
  <si>
    <t xml:space="preserve">Sections per 6 m tube</t>
  </si>
  <si>
    <t xml:space="preserve">Tubes per day</t>
  </si>
  <si>
    <t xml:space="preserve">tubes/day</t>
  </si>
  <si>
    <t xml:space="preserve">Tubes for 2 weeks (10 days)</t>
  </si>
  <si>
    <t xml:space="preserve">tubes</t>
  </si>
  <si>
    <t xml:space="preserve">Aluminium sheet</t>
  </si>
  <si>
    <t xml:space="preserve">Blanks per shovel (head + hinge)</t>
  </si>
  <si>
    <t xml:space="preserve">blanks</t>
  </si>
  <si>
    <t xml:space="preserve">Good blanks per day</t>
  </si>
  <si>
    <t xml:space="preserve">blanks/day</t>
  </si>
  <si>
    <t xml:space="preserve">Gross blanks per day (scrap)</t>
  </si>
  <si>
    <t xml:space="preserve">Sheets per day: to be determined from blank size and nesting (designer assumption).</t>
  </si>
  <si>
    <t xml:space="preserve">Capacity summary and bottlenecks</t>
  </si>
  <si>
    <t xml:space="preserve">Takt time (s/shovel)</t>
  </si>
  <si>
    <t xml:space="preserve">Daily demand (shovels)</t>
  </si>
  <si>
    <t xml:space="preserve">Line machines / stations (total)</t>
  </si>
  <si>
    <t xml:space="preserve">Line operators (total, 1:1)</t>
  </si>
  <si>
    <t xml:space="preserve">Powder coating lines</t>
  </si>
  <si>
    <t xml:space="preserve">Heat-treat ovens (assumed)</t>
  </si>
  <si>
    <t xml:space="preserve">Sandblast booths (to verify)</t>
  </si>
  <si>
    <t xml:space="preserve">TBD</t>
  </si>
  <si>
    <t xml:space="preserve">Largest bottlenecks (machines/stations required):</t>
  </si>
  <si>
    <t xml:space="preserve">Knurl + external thread</t>
  </si>
  <si>
    <t xml:space="preserve">Packaging</t>
  </si>
  <si>
    <t xml:space="preserve">Insight: the slow manual finishing steps (sharpen 2 min, knurl+thread 1 min, serrate 1 min, polish 1 min) dominate capacity. To meet demand, run parallel stations or adopt faster/automated equipment (thread rolling, automated grinding, bundle cutting).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</si>
</sst>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AF0F6"/>
      </patternFill>
    </fill>
    <fill>
      <patternFill patternType="solid">
        <fgColor rgb="FFEAF0F6"/>
        <bgColor rgb="FFFFFFFF"/>
      </patternFill>
    </fill>
    <fill>
      <patternFill patternType="solid">
        <fgColor rgb="FFD6E0EA"/>
        <bgColor rgb="FFEAF0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6"/>
      <rgbColor rgb="FF660066"/>
      <rgbColor rgb="FFFF8080"/>
      <rgbColor rgb="FF0066CC"/>
      <rgbColor rgb="FFD6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4" min="3" style="0" width="12"/>
    <col collapsed="false" customWidth="true" hidden="false" outlineLevel="0" max="5" min="5" style="0" width="5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false" outlineLevel="0" collapsed="false">
      <c r="B4" s="4" t="s">
        <v>6</v>
      </c>
      <c r="C4" s="5" t="n">
        <v>400000</v>
      </c>
      <c r="D4" s="6" t="s">
        <v>7</v>
      </c>
      <c r="E4" s="7" t="s">
        <v>8</v>
      </c>
    </row>
    <row r="5" customFormat="false" ht="15" hidden="false" customHeight="false" outlineLevel="0" collapsed="false">
      <c r="B5" s="4" t="s">
        <v>9</v>
      </c>
      <c r="C5" s="5" t="n">
        <v>220</v>
      </c>
      <c r="D5" s="6" t="s">
        <v>10</v>
      </c>
      <c r="E5" s="7" t="s">
        <v>8</v>
      </c>
    </row>
    <row r="6" customFormat="false" ht="15" hidden="false" customHeight="false" outlineLevel="0" collapsed="false">
      <c r="B6" s="4" t="s">
        <v>11</v>
      </c>
      <c r="C6" s="6" t="n">
        <f aca="false">ROUNDUP(C4/C5,0)</f>
        <v>1819</v>
      </c>
      <c r="D6" s="6" t="s">
        <v>12</v>
      </c>
      <c r="E6" s="7" t="s">
        <v>13</v>
      </c>
    </row>
    <row r="7" customFormat="false" ht="15" hidden="false" customHeight="false" outlineLevel="0" collapsed="false">
      <c r="B7" s="4" t="s">
        <v>14</v>
      </c>
      <c r="C7" s="5" t="n">
        <v>540</v>
      </c>
      <c r="D7" s="6" t="s">
        <v>15</v>
      </c>
      <c r="E7" s="7" t="s">
        <v>16</v>
      </c>
    </row>
    <row r="8" customFormat="false" ht="15" hidden="false" customHeight="false" outlineLevel="0" collapsed="false">
      <c r="B8" s="4" t="s">
        <v>17</v>
      </c>
      <c r="C8" s="5" t="n">
        <v>60</v>
      </c>
      <c r="D8" s="6" t="s">
        <v>15</v>
      </c>
      <c r="E8" s="7" t="s">
        <v>18</v>
      </c>
    </row>
    <row r="9" customFormat="false" ht="15" hidden="false" customHeight="false" outlineLevel="0" collapsed="false">
      <c r="B9" s="4" t="s">
        <v>19</v>
      </c>
      <c r="C9" s="6" t="n">
        <f aca="false">C7-C8</f>
        <v>480</v>
      </c>
      <c r="D9" s="6" t="s">
        <v>20</v>
      </c>
      <c r="E9" s="7" t="s">
        <v>21</v>
      </c>
    </row>
    <row r="10" customFormat="false" ht="15" hidden="false" customHeight="false" outlineLevel="0" collapsed="false">
      <c r="B10" s="4" t="s">
        <v>22</v>
      </c>
      <c r="C10" s="8" t="n">
        <v>0.9</v>
      </c>
      <c r="D10" s="6" t="s">
        <v>23</v>
      </c>
      <c r="E10" s="7" t="s">
        <v>24</v>
      </c>
    </row>
    <row r="11" customFormat="false" ht="15" hidden="false" customHeight="false" outlineLevel="0" collapsed="false">
      <c r="B11" s="4" t="s">
        <v>25</v>
      </c>
      <c r="C11" s="6" t="n">
        <f aca="false">C9*C10</f>
        <v>432</v>
      </c>
      <c r="D11" s="6" t="s">
        <v>20</v>
      </c>
      <c r="E11" s="7" t="s">
        <v>26</v>
      </c>
    </row>
    <row r="12" customFormat="false" ht="15" hidden="false" customHeight="false" outlineLevel="0" collapsed="false">
      <c r="B12" s="4" t="s">
        <v>27</v>
      </c>
      <c r="C12" s="6" t="n">
        <f aca="false">ROUND(C9*60/C6,2)</f>
        <v>15.83</v>
      </c>
      <c r="D12" s="6" t="s">
        <v>28</v>
      </c>
      <c r="E12" s="7" t="s">
        <v>29</v>
      </c>
    </row>
    <row r="13" customFormat="false" ht="15" hidden="false" customHeight="false" outlineLevel="0" collapsed="false">
      <c r="B13" s="4" t="s">
        <v>30</v>
      </c>
      <c r="C13" s="5" t="n">
        <v>0.05</v>
      </c>
      <c r="D13" s="6" t="s">
        <v>23</v>
      </c>
      <c r="E13" s="7" t="s">
        <v>31</v>
      </c>
    </row>
    <row r="14" customFormat="false" ht="15" hidden="false" customHeight="false" outlineLevel="0" collapsed="false">
      <c r="B14" s="4" t="s">
        <v>32</v>
      </c>
      <c r="C14" s="6" t="n">
        <f aca="false">1-C13</f>
        <v>0.95</v>
      </c>
      <c r="D14" s="6" t="s">
        <v>23</v>
      </c>
      <c r="E14" s="7" t="s">
        <v>33</v>
      </c>
    </row>
    <row r="15" customFormat="false" ht="15" hidden="false" customHeight="false" outlineLevel="0" collapsed="false">
      <c r="B15" s="4" t="s">
        <v>34</v>
      </c>
      <c r="C15" s="8" t="n">
        <v>1</v>
      </c>
      <c r="D15" s="6" t="s">
        <v>35</v>
      </c>
      <c r="E15" s="7" t="s">
        <v>36</v>
      </c>
    </row>
    <row r="16" customFormat="false" ht="15" hidden="false" customHeight="false" outlineLevel="0" collapsed="false">
      <c r="B16" s="4" t="s">
        <v>37</v>
      </c>
      <c r="C16" s="8" t="n">
        <v>1</v>
      </c>
      <c r="D16" s="6" t="s">
        <v>38</v>
      </c>
      <c r="E16" s="7" t="s">
        <v>39</v>
      </c>
    </row>
    <row r="17" customFormat="false" ht="15" hidden="false" customHeight="false" outlineLevel="0" collapsed="false">
      <c r="B17" s="4" t="s">
        <v>40</v>
      </c>
      <c r="C17" s="8" t="n">
        <v>30</v>
      </c>
      <c r="D17" s="6" t="s">
        <v>28</v>
      </c>
      <c r="E17" s="7" t="s">
        <v>41</v>
      </c>
    </row>
    <row r="18" customFormat="false" ht="15" hidden="false" customHeight="false" outlineLevel="0" collapsed="false">
      <c r="B18" s="4" t="s">
        <v>42</v>
      </c>
      <c r="C18" s="8" t="n">
        <v>6</v>
      </c>
      <c r="D18" s="6" t="s">
        <v>43</v>
      </c>
      <c r="E18" s="7" t="s">
        <v>44</v>
      </c>
    </row>
    <row r="19" customFormat="false" ht="15" hidden="false" customHeight="false" outlineLevel="0" collapsed="false">
      <c r="B19" s="4" t="s">
        <v>45</v>
      </c>
      <c r="C19" s="5" t="n">
        <v>0.15</v>
      </c>
      <c r="D19" s="6" t="s">
        <v>43</v>
      </c>
      <c r="E19" s="7" t="s">
        <v>46</v>
      </c>
    </row>
    <row r="20" customFormat="false" ht="15" hidden="false" customHeight="false" outlineLevel="0" collapsed="false">
      <c r="B20" s="4" t="s">
        <v>47</v>
      </c>
      <c r="C20" s="6" t="n">
        <f aca="false">FLOOR(C18/C19,1)</f>
        <v>40</v>
      </c>
      <c r="D20" s="6" t="s">
        <v>48</v>
      </c>
      <c r="E20" s="7" t="s">
        <v>49</v>
      </c>
    </row>
    <row r="21" customFormat="false" ht="15" hidden="false" customHeight="false" outlineLevel="0" collapsed="false">
      <c r="B21" s="4" t="s">
        <v>50</v>
      </c>
      <c r="C21" s="8" t="n">
        <v>6</v>
      </c>
      <c r="D21" s="6" t="s">
        <v>51</v>
      </c>
      <c r="E21" s="7" t="s">
        <v>52</v>
      </c>
    </row>
    <row r="22" customFormat="false" ht="15" hidden="false" customHeight="false" outlineLevel="0" collapsed="false">
      <c r="B22" s="4" t="s">
        <v>53</v>
      </c>
      <c r="C22" s="8" t="n">
        <v>600</v>
      </c>
      <c r="D22" s="6" t="s">
        <v>54</v>
      </c>
      <c r="E22" s="7" t="s">
        <v>55</v>
      </c>
    </row>
    <row r="23" customFormat="false" ht="15" hidden="false" customHeight="false" outlineLevel="0" collapsed="false">
      <c r="B23" s="4" t="s">
        <v>56</v>
      </c>
      <c r="C23" s="5" t="n">
        <v>3</v>
      </c>
      <c r="D23" s="6" t="s">
        <v>57</v>
      </c>
      <c r="E23" s="7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5" min="4" style="0" width="9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4" min="13" style="0" width="9"/>
    <col collapsed="false" customWidth="true" hidden="false" outlineLevel="0" max="15" min="15" style="0" width="8"/>
    <col collapsed="false" customWidth="true" hidden="false" outlineLevel="0" max="16" min="16" style="0" width="34"/>
  </cols>
  <sheetData>
    <row r="1" customFormat="false" ht="16.1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3" customFormat="false" ht="39.55" hidden="false" customHeight="false" outlineLevel="0" collapsed="false">
      <c r="A3" s="9" t="s">
        <v>61</v>
      </c>
      <c r="B3" s="9" t="s">
        <v>62</v>
      </c>
      <c r="C3" s="9" t="s">
        <v>63</v>
      </c>
      <c r="D3" s="9" t="s">
        <v>64</v>
      </c>
      <c r="E3" s="9" t="s">
        <v>65</v>
      </c>
      <c r="F3" s="9" t="s">
        <v>66</v>
      </c>
      <c r="G3" s="9" t="s">
        <v>67</v>
      </c>
      <c r="H3" s="9" t="s">
        <v>68</v>
      </c>
      <c r="I3" s="9" t="s">
        <v>69</v>
      </c>
      <c r="J3" s="9" t="s">
        <v>70</v>
      </c>
      <c r="K3" s="9" t="s">
        <v>71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</row>
    <row r="4" customFormat="false" ht="15" hidden="false" customHeight="false" outlineLevel="0" collapsed="false">
      <c r="A4" s="10" t="s">
        <v>77</v>
      </c>
      <c r="B4" s="10" t="s">
        <v>78</v>
      </c>
      <c r="C4" s="5" t="n">
        <v>2</v>
      </c>
      <c r="D4" s="5" t="s">
        <v>79</v>
      </c>
      <c r="E4" s="11" t="n">
        <f aca="false">Inputs!$C$6*C4</f>
        <v>3638</v>
      </c>
      <c r="F4" s="10" t="n">
        <f aca="false">IF(D4="Yes",1/Inputs!$C$14,1)</f>
        <v>1.05263157894737</v>
      </c>
      <c r="G4" s="10" t="n">
        <f aca="false">E4*F4</f>
        <v>3829.47368421053</v>
      </c>
      <c r="H4" s="11" t="n">
        <f aca="false">Inputs!$C$15</f>
        <v>1</v>
      </c>
      <c r="I4" s="10" t="n">
        <f aca="false">G4/H4</f>
        <v>3829.47368421053</v>
      </c>
      <c r="J4" s="12" t="n">
        <v>15</v>
      </c>
      <c r="K4" s="10" t="n">
        <f aca="false">I4*J4/60</f>
        <v>957.368421052632</v>
      </c>
      <c r="L4" s="11" t="n">
        <f aca="false">Inputs!$C$11</f>
        <v>432</v>
      </c>
      <c r="M4" s="13" t="n">
        <f aca="false">ROUNDUP(K4/L4,0)</f>
        <v>3</v>
      </c>
      <c r="N4" s="14" t="n">
        <f aca="false">K4/(M4*L4)</f>
        <v>0.7387102014295</v>
      </c>
      <c r="O4" s="10" t="n">
        <f aca="false">M4*Inputs!$C$16</f>
        <v>3</v>
      </c>
      <c r="P4" s="15" t="s">
        <v>80</v>
      </c>
    </row>
    <row r="5" customFormat="false" ht="15" hidden="false" customHeight="false" outlineLevel="0" collapsed="false">
      <c r="A5" s="6" t="s">
        <v>81</v>
      </c>
      <c r="B5" s="6" t="s">
        <v>82</v>
      </c>
      <c r="C5" s="5" t="n">
        <v>1</v>
      </c>
      <c r="D5" s="5" t="s">
        <v>83</v>
      </c>
      <c r="E5" s="16" t="n">
        <f aca="false">Inputs!$C$6*C5</f>
        <v>1819</v>
      </c>
      <c r="F5" s="6" t="n">
        <f aca="false">IF(D5="Yes",1/Inputs!$C$14,1)</f>
        <v>1</v>
      </c>
      <c r="G5" s="6" t="n">
        <f aca="false">E5*F5</f>
        <v>1819</v>
      </c>
      <c r="H5" s="6" t="s">
        <v>84</v>
      </c>
      <c r="I5" s="6" t="n">
        <f aca="false">G5/H5</f>
        <v>1819</v>
      </c>
      <c r="J5" s="5" t="n">
        <v>20</v>
      </c>
      <c r="K5" s="6" t="n">
        <f aca="false">I5*J5/60</f>
        <v>606.333333333333</v>
      </c>
      <c r="L5" s="16" t="n">
        <f aca="false">Inputs!$C$11</f>
        <v>432</v>
      </c>
      <c r="M5" s="4" t="n">
        <f aca="false">ROUNDUP(K5/L5,0)</f>
        <v>2</v>
      </c>
      <c r="N5" s="17" t="n">
        <f aca="false">K5/(M5*L5)</f>
        <v>0.701774691358025</v>
      </c>
      <c r="O5" s="6" t="n">
        <f aca="false">M5*Inputs!$C$16</f>
        <v>2</v>
      </c>
      <c r="P5" s="7" t="s">
        <v>85</v>
      </c>
    </row>
    <row r="6" customFormat="false" ht="15" hidden="false" customHeight="false" outlineLevel="0" collapsed="false">
      <c r="A6" s="10" t="s">
        <v>86</v>
      </c>
      <c r="B6" s="10" t="s">
        <v>82</v>
      </c>
      <c r="C6" s="5" t="n">
        <v>1</v>
      </c>
      <c r="D6" s="5" t="s">
        <v>83</v>
      </c>
      <c r="E6" s="11" t="n">
        <f aca="false">Inputs!$C$6*C6</f>
        <v>1819</v>
      </c>
      <c r="F6" s="10" t="n">
        <f aca="false">IF(D6="Yes",1/Inputs!$C$14,1)</f>
        <v>1</v>
      </c>
      <c r="G6" s="10" t="n">
        <f aca="false">E6*F6</f>
        <v>1819</v>
      </c>
      <c r="H6" s="10" t="s">
        <v>84</v>
      </c>
      <c r="I6" s="10" t="n">
        <f aca="false">G6/H6</f>
        <v>1819</v>
      </c>
      <c r="J6" s="12" t="n">
        <v>5</v>
      </c>
      <c r="K6" s="10" t="n">
        <f aca="false">I6*J6/60</f>
        <v>151.583333333333</v>
      </c>
      <c r="L6" s="11" t="n">
        <f aca="false">Inputs!$C$11</f>
        <v>432</v>
      </c>
      <c r="M6" s="13" t="n">
        <f aca="false">ROUNDUP(K6/L6,0)</f>
        <v>1</v>
      </c>
      <c r="N6" s="14" t="n">
        <f aca="false">K6/(M6*L6)</f>
        <v>0.350887345679012</v>
      </c>
      <c r="O6" s="10" t="n">
        <f aca="false">M6*Inputs!$C$16</f>
        <v>1</v>
      </c>
      <c r="P6" s="15" t="s">
        <v>85</v>
      </c>
    </row>
    <row r="7" customFormat="false" ht="15" hidden="false" customHeight="false" outlineLevel="0" collapsed="false">
      <c r="A7" s="6" t="s">
        <v>87</v>
      </c>
      <c r="B7" s="6" t="s">
        <v>82</v>
      </c>
      <c r="C7" s="5" t="n">
        <v>1</v>
      </c>
      <c r="D7" s="5" t="s">
        <v>83</v>
      </c>
      <c r="E7" s="16" t="n">
        <f aca="false">Inputs!$C$6*C7</f>
        <v>1819</v>
      </c>
      <c r="F7" s="6" t="n">
        <f aca="false">IF(D7="Yes",1/Inputs!$C$14,1)</f>
        <v>1</v>
      </c>
      <c r="G7" s="6" t="n">
        <f aca="false">E7*F7</f>
        <v>1819</v>
      </c>
      <c r="H7" s="6" t="s">
        <v>84</v>
      </c>
      <c r="I7" s="6" t="n">
        <f aca="false">G7/H7</f>
        <v>1819</v>
      </c>
      <c r="J7" s="5" t="n">
        <v>60</v>
      </c>
      <c r="K7" s="6" t="n">
        <f aca="false">I7*J7/60</f>
        <v>1819</v>
      </c>
      <c r="L7" s="16" t="n">
        <f aca="false">Inputs!$C$11</f>
        <v>432</v>
      </c>
      <c r="M7" s="4" t="n">
        <f aca="false">ROUNDUP(K7/L7,0)</f>
        <v>5</v>
      </c>
      <c r="N7" s="17" t="n">
        <f aca="false">K7/(M7*L7)</f>
        <v>0.84212962962963</v>
      </c>
      <c r="O7" s="6" t="n">
        <f aca="false">M7*Inputs!$C$16</f>
        <v>5</v>
      </c>
      <c r="P7" s="7" t="s">
        <v>88</v>
      </c>
    </row>
    <row r="8" customFormat="false" ht="15" hidden="false" customHeight="false" outlineLevel="0" collapsed="false">
      <c r="A8" s="10" t="s">
        <v>89</v>
      </c>
      <c r="B8" s="10" t="s">
        <v>90</v>
      </c>
      <c r="C8" s="5" t="n">
        <v>1</v>
      </c>
      <c r="D8" s="5" t="s">
        <v>79</v>
      </c>
      <c r="E8" s="11" t="n">
        <f aca="false">Inputs!$C$6*C8</f>
        <v>1819</v>
      </c>
      <c r="F8" s="10" t="n">
        <f aca="false">IF(D8="Yes",1/Inputs!$C$14,1)</f>
        <v>1.05263157894737</v>
      </c>
      <c r="G8" s="10" t="n">
        <f aca="false">E8*F8</f>
        <v>1914.73684210526</v>
      </c>
      <c r="H8" s="10" t="s">
        <v>84</v>
      </c>
      <c r="I8" s="10" t="n">
        <f aca="false">G8/H8</f>
        <v>1914.73684210526</v>
      </c>
      <c r="J8" s="12" t="n">
        <v>2</v>
      </c>
      <c r="K8" s="10" t="n">
        <f aca="false">I8*J8/60</f>
        <v>63.8245614035088</v>
      </c>
      <c r="L8" s="11" t="n">
        <f aca="false">Inputs!$C$11</f>
        <v>432</v>
      </c>
      <c r="M8" s="13" t="n">
        <f aca="false">ROUNDUP(K8/L8,0)</f>
        <v>1</v>
      </c>
      <c r="N8" s="14" t="n">
        <f aca="false">K8/(M8*L8)</f>
        <v>0.1477420402859</v>
      </c>
      <c r="O8" s="10" t="n">
        <f aca="false">M8*Inputs!$C$16</f>
        <v>1</v>
      </c>
      <c r="P8" s="15" t="s">
        <v>91</v>
      </c>
    </row>
    <row r="9" customFormat="false" ht="15" hidden="false" customHeight="false" outlineLevel="0" collapsed="false">
      <c r="A9" s="6" t="s">
        <v>92</v>
      </c>
      <c r="B9" s="6" t="s">
        <v>93</v>
      </c>
      <c r="C9" s="5" t="n">
        <v>1</v>
      </c>
      <c r="D9" s="5" t="s">
        <v>83</v>
      </c>
      <c r="E9" s="16" t="n">
        <f aca="false">Inputs!$C$6*C9</f>
        <v>1819</v>
      </c>
      <c r="F9" s="6" t="n">
        <f aca="false">IF(D9="Yes",1/Inputs!$C$14,1)</f>
        <v>1</v>
      </c>
      <c r="G9" s="6" t="n">
        <f aca="false">E9*F9</f>
        <v>1819</v>
      </c>
      <c r="H9" s="6" t="s">
        <v>84</v>
      </c>
      <c r="I9" s="6" t="n">
        <f aca="false">G9/H9</f>
        <v>1819</v>
      </c>
      <c r="J9" s="5" t="n">
        <v>2</v>
      </c>
      <c r="K9" s="6" t="n">
        <f aca="false">I9*J9/60</f>
        <v>60.6333333333333</v>
      </c>
      <c r="L9" s="16" t="n">
        <f aca="false">Inputs!$C$11</f>
        <v>432</v>
      </c>
      <c r="M9" s="4" t="n">
        <f aca="false">ROUNDUP(K9/L9,0)</f>
        <v>1</v>
      </c>
      <c r="N9" s="17" t="n">
        <f aca="false">K9/(M9*L9)</f>
        <v>0.140354938271605</v>
      </c>
      <c r="O9" s="6" t="n">
        <f aca="false">M9*Inputs!$C$16</f>
        <v>1</v>
      </c>
      <c r="P9" s="7" t="s">
        <v>85</v>
      </c>
    </row>
    <row r="10" customFormat="false" ht="15" hidden="false" customHeight="false" outlineLevel="0" collapsed="false">
      <c r="A10" s="10" t="s">
        <v>94</v>
      </c>
      <c r="B10" s="10" t="s">
        <v>95</v>
      </c>
      <c r="C10" s="5" t="n">
        <v>1</v>
      </c>
      <c r="D10" s="5" t="s">
        <v>83</v>
      </c>
      <c r="E10" s="11" t="n">
        <f aca="false">Inputs!$C$6*C10</f>
        <v>1819</v>
      </c>
      <c r="F10" s="10" t="n">
        <f aca="false">IF(D10="Yes",1/Inputs!$C$14,1)</f>
        <v>1</v>
      </c>
      <c r="G10" s="10" t="n">
        <f aca="false">E10*F10</f>
        <v>1819</v>
      </c>
      <c r="H10" s="10" t="s">
        <v>84</v>
      </c>
      <c r="I10" s="10" t="n">
        <f aca="false">G10/H10</f>
        <v>1819</v>
      </c>
      <c r="J10" s="12" t="n">
        <v>120</v>
      </c>
      <c r="K10" s="10" t="n">
        <f aca="false">I10*J10/60</f>
        <v>3638</v>
      </c>
      <c r="L10" s="11" t="n">
        <f aca="false">Inputs!$C$11</f>
        <v>432</v>
      </c>
      <c r="M10" s="13" t="n">
        <f aca="false">ROUNDUP(K10/L10,0)</f>
        <v>9</v>
      </c>
      <c r="N10" s="14" t="n">
        <f aca="false">K10/(M10*L10)</f>
        <v>0.935699588477366</v>
      </c>
      <c r="O10" s="10" t="n">
        <f aca="false">M10*Inputs!$C$16</f>
        <v>9</v>
      </c>
      <c r="P10" s="15" t="s">
        <v>96</v>
      </c>
    </row>
    <row r="11" customFormat="false" ht="15" hidden="false" customHeight="false" outlineLevel="0" collapsed="false">
      <c r="A11" s="6" t="s">
        <v>97</v>
      </c>
      <c r="B11" s="6" t="s">
        <v>95</v>
      </c>
      <c r="C11" s="5" t="n">
        <v>1</v>
      </c>
      <c r="D11" s="5" t="s">
        <v>83</v>
      </c>
      <c r="E11" s="16" t="n">
        <f aca="false">Inputs!$C$6*C11</f>
        <v>1819</v>
      </c>
      <c r="F11" s="6" t="n">
        <f aca="false">IF(D11="Yes",1/Inputs!$C$14,1)</f>
        <v>1</v>
      </c>
      <c r="G11" s="6" t="n">
        <f aca="false">E11*F11</f>
        <v>1819</v>
      </c>
      <c r="H11" s="6" t="s">
        <v>84</v>
      </c>
      <c r="I11" s="6" t="n">
        <f aca="false">G11/H11</f>
        <v>1819</v>
      </c>
      <c r="J11" s="5" t="n">
        <v>60</v>
      </c>
      <c r="K11" s="6" t="n">
        <f aca="false">I11*J11/60</f>
        <v>1819</v>
      </c>
      <c r="L11" s="16" t="n">
        <f aca="false">Inputs!$C$11</f>
        <v>432</v>
      </c>
      <c r="M11" s="4" t="n">
        <f aca="false">ROUNDUP(K11/L11,0)</f>
        <v>5</v>
      </c>
      <c r="N11" s="17" t="n">
        <f aca="false">K11/(M11*L11)</f>
        <v>0.84212962962963</v>
      </c>
      <c r="O11" s="6" t="n">
        <f aca="false">M11*Inputs!$C$16</f>
        <v>5</v>
      </c>
      <c r="P11" s="7" t="s">
        <v>85</v>
      </c>
    </row>
    <row r="12" customFormat="false" ht="15" hidden="false" customHeight="false" outlineLevel="0" collapsed="false">
      <c r="A12" s="10" t="s">
        <v>98</v>
      </c>
      <c r="B12" s="10" t="s">
        <v>90</v>
      </c>
      <c r="C12" s="5" t="n">
        <v>1</v>
      </c>
      <c r="D12" s="5" t="s">
        <v>79</v>
      </c>
      <c r="E12" s="11" t="n">
        <f aca="false">Inputs!$C$6*C12</f>
        <v>1819</v>
      </c>
      <c r="F12" s="10" t="n">
        <f aca="false">IF(D12="Yes",1/Inputs!$C$14,1)</f>
        <v>1.05263157894737</v>
      </c>
      <c r="G12" s="10" t="n">
        <f aca="false">E12*F12</f>
        <v>1914.73684210526</v>
      </c>
      <c r="H12" s="10" t="s">
        <v>84</v>
      </c>
      <c r="I12" s="10" t="n">
        <f aca="false">G12/H12</f>
        <v>1914.73684210526</v>
      </c>
      <c r="J12" s="12" t="n">
        <v>2</v>
      </c>
      <c r="K12" s="10" t="n">
        <f aca="false">I12*J12/60</f>
        <v>63.8245614035088</v>
      </c>
      <c r="L12" s="11" t="n">
        <f aca="false">Inputs!$C$11</f>
        <v>432</v>
      </c>
      <c r="M12" s="13" t="n">
        <f aca="false">ROUNDUP(K12/L12,0)</f>
        <v>1</v>
      </c>
      <c r="N12" s="14" t="n">
        <f aca="false">K12/(M12*L12)</f>
        <v>0.1477420402859</v>
      </c>
      <c r="O12" s="10" t="n">
        <f aca="false">M12*Inputs!$C$16</f>
        <v>1</v>
      </c>
      <c r="P12" s="15" t="s">
        <v>91</v>
      </c>
    </row>
    <row r="13" customFormat="false" ht="15" hidden="false" customHeight="false" outlineLevel="0" collapsed="false">
      <c r="A13" s="6" t="s">
        <v>99</v>
      </c>
      <c r="B13" s="6" t="s">
        <v>90</v>
      </c>
      <c r="C13" s="5" t="n">
        <v>1</v>
      </c>
      <c r="D13" s="5" t="s">
        <v>83</v>
      </c>
      <c r="E13" s="16" t="n">
        <f aca="false">Inputs!$C$6*C13</f>
        <v>1819</v>
      </c>
      <c r="F13" s="6" t="n">
        <f aca="false">IF(D13="Yes",1/Inputs!$C$14,1)</f>
        <v>1</v>
      </c>
      <c r="G13" s="6" t="n">
        <f aca="false">E13*F13</f>
        <v>1819</v>
      </c>
      <c r="H13" s="6" t="s">
        <v>84</v>
      </c>
      <c r="I13" s="6" t="n">
        <f aca="false">G13/H13</f>
        <v>1819</v>
      </c>
      <c r="J13" s="5" t="n">
        <v>5</v>
      </c>
      <c r="K13" s="6" t="n">
        <f aca="false">I13*J13/60</f>
        <v>151.583333333333</v>
      </c>
      <c r="L13" s="16" t="n">
        <f aca="false">Inputs!$C$11</f>
        <v>432</v>
      </c>
      <c r="M13" s="4" t="n">
        <f aca="false">ROUNDUP(K13/L13,0)</f>
        <v>1</v>
      </c>
      <c r="N13" s="17" t="n">
        <f aca="false">K13/(M13*L13)</f>
        <v>0.350887345679012</v>
      </c>
      <c r="O13" s="6" t="n">
        <f aca="false">M13*Inputs!$C$16</f>
        <v>1</v>
      </c>
      <c r="P13" s="7" t="s">
        <v>85</v>
      </c>
    </row>
    <row r="14" customFormat="false" ht="15" hidden="false" customHeight="false" outlineLevel="0" collapsed="false">
      <c r="A14" s="10" t="s">
        <v>100</v>
      </c>
      <c r="B14" s="10" t="s">
        <v>95</v>
      </c>
      <c r="C14" s="5" t="n">
        <v>1</v>
      </c>
      <c r="D14" s="5" t="s">
        <v>83</v>
      </c>
      <c r="E14" s="11" t="n">
        <f aca="false">Inputs!$C$6*C14</f>
        <v>1819</v>
      </c>
      <c r="F14" s="10" t="n">
        <f aca="false">IF(D14="Yes",1/Inputs!$C$14,1)</f>
        <v>1</v>
      </c>
      <c r="G14" s="10" t="n">
        <f aca="false">E14*F14</f>
        <v>1819</v>
      </c>
      <c r="H14" s="10" t="s">
        <v>84</v>
      </c>
      <c r="I14" s="10" t="n">
        <f aca="false">G14/H14</f>
        <v>1819</v>
      </c>
      <c r="J14" s="12" t="n">
        <v>5</v>
      </c>
      <c r="K14" s="10" t="n">
        <f aca="false">I14*J14/60</f>
        <v>151.583333333333</v>
      </c>
      <c r="L14" s="11" t="n">
        <f aca="false">Inputs!$C$11</f>
        <v>432</v>
      </c>
      <c r="M14" s="13" t="n">
        <f aca="false">ROUNDUP(K14/L14,0)</f>
        <v>1</v>
      </c>
      <c r="N14" s="14" t="n">
        <f aca="false">K14/(M14*L14)</f>
        <v>0.350887345679012</v>
      </c>
      <c r="O14" s="10" t="n">
        <f aca="false">M14*Inputs!$C$16</f>
        <v>1</v>
      </c>
      <c r="P14" s="15" t="s">
        <v>85</v>
      </c>
    </row>
    <row r="15" customFormat="false" ht="15" hidden="false" customHeight="false" outlineLevel="0" collapsed="false">
      <c r="A15" s="6" t="s">
        <v>101</v>
      </c>
      <c r="B15" s="6" t="s">
        <v>93</v>
      </c>
      <c r="C15" s="5" t="n">
        <v>1</v>
      </c>
      <c r="D15" s="5" t="s">
        <v>83</v>
      </c>
      <c r="E15" s="16" t="n">
        <f aca="false">Inputs!$C$6*C15</f>
        <v>1819</v>
      </c>
      <c r="F15" s="6" t="n">
        <f aca="false">IF(D15="Yes",1/Inputs!$C$14,1)</f>
        <v>1</v>
      </c>
      <c r="G15" s="6" t="n">
        <f aca="false">E15*F15</f>
        <v>1819</v>
      </c>
      <c r="H15" s="6" t="s">
        <v>84</v>
      </c>
      <c r="I15" s="6" t="n">
        <f aca="false">G15/H15</f>
        <v>1819</v>
      </c>
      <c r="J15" s="5" t="n">
        <v>60</v>
      </c>
      <c r="K15" s="6" t="n">
        <f aca="false">I15*J15/60</f>
        <v>1819</v>
      </c>
      <c r="L15" s="16" t="n">
        <f aca="false">Inputs!$C$11</f>
        <v>432</v>
      </c>
      <c r="M15" s="4" t="n">
        <f aca="false">ROUNDUP(K15/L15,0)</f>
        <v>5</v>
      </c>
      <c r="N15" s="17" t="n">
        <f aca="false">K15/(M15*L15)</f>
        <v>0.84212962962963</v>
      </c>
      <c r="O15" s="6" t="n">
        <f aca="false">M15*Inputs!$C$16</f>
        <v>5</v>
      </c>
      <c r="P15" s="7" t="s">
        <v>85</v>
      </c>
    </row>
    <row r="16" customFormat="false" ht="15" hidden="false" customHeight="false" outlineLevel="0" collapsed="false">
      <c r="A16" s="10" t="s">
        <v>102</v>
      </c>
      <c r="B16" s="10" t="s">
        <v>95</v>
      </c>
      <c r="C16" s="5" t="n">
        <v>1</v>
      </c>
      <c r="D16" s="5" t="s">
        <v>83</v>
      </c>
      <c r="E16" s="11" t="n">
        <f aca="false">Inputs!$C$6*C16</f>
        <v>1819</v>
      </c>
      <c r="F16" s="10" t="n">
        <f aca="false">IF(D16="Yes",1/Inputs!$C$14,1)</f>
        <v>1</v>
      </c>
      <c r="G16" s="10" t="n">
        <f aca="false">E16*F16</f>
        <v>1819</v>
      </c>
      <c r="H16" s="10" t="s">
        <v>84</v>
      </c>
      <c r="I16" s="10" t="n">
        <f aca="false">G16/H16</f>
        <v>1819</v>
      </c>
      <c r="J16" s="12" t="n">
        <v>30</v>
      </c>
      <c r="K16" s="10" t="n">
        <f aca="false">I16*J16/60</f>
        <v>909.5</v>
      </c>
      <c r="L16" s="11" t="n">
        <f aca="false">Inputs!$C$11</f>
        <v>432</v>
      </c>
      <c r="M16" s="13" t="n">
        <f aca="false">ROUNDUP(K16/L16,0)</f>
        <v>3</v>
      </c>
      <c r="N16" s="14" t="n">
        <f aca="false">K16/(M16*L16)</f>
        <v>0.701774691358025</v>
      </c>
      <c r="O16" s="10" t="n">
        <f aca="false">M16*Inputs!$C$16</f>
        <v>3</v>
      </c>
      <c r="P16" s="15" t="s">
        <v>85</v>
      </c>
    </row>
    <row r="17" customFormat="false" ht="15" hidden="false" customHeight="false" outlineLevel="0" collapsed="false">
      <c r="A17" s="6" t="s">
        <v>103</v>
      </c>
      <c r="B17" s="6" t="s">
        <v>95</v>
      </c>
      <c r="C17" s="5" t="n">
        <v>1</v>
      </c>
      <c r="D17" s="5" t="s">
        <v>83</v>
      </c>
      <c r="E17" s="16" t="n">
        <f aca="false">Inputs!$C$6*C17</f>
        <v>1819</v>
      </c>
      <c r="F17" s="6" t="n">
        <f aca="false">IF(D17="Yes",1/Inputs!$C$14,1)</f>
        <v>1</v>
      </c>
      <c r="G17" s="6" t="n">
        <f aca="false">E17*F17</f>
        <v>1819</v>
      </c>
      <c r="H17" s="6" t="s">
        <v>84</v>
      </c>
      <c r="I17" s="6" t="n">
        <f aca="false">G17/H17</f>
        <v>1819</v>
      </c>
      <c r="J17" s="16" t="n">
        <f aca="false">Inputs!$C$17</f>
        <v>30</v>
      </c>
      <c r="K17" s="6" t="n">
        <f aca="false">I17*J17/60</f>
        <v>909.5</v>
      </c>
      <c r="L17" s="16" t="n">
        <f aca="false">Inputs!$C$11</f>
        <v>432</v>
      </c>
      <c r="M17" s="4" t="n">
        <f aca="false">ROUNDUP(K17/L17,0)</f>
        <v>3</v>
      </c>
      <c r="N17" s="17" t="n">
        <f aca="false">K17/(M17*L17)</f>
        <v>0.701774691358025</v>
      </c>
      <c r="O17" s="6" t="n">
        <f aca="false">M17*Inputs!$C$16</f>
        <v>3</v>
      </c>
      <c r="P17" s="7" t="s">
        <v>104</v>
      </c>
    </row>
    <row r="18" customFormat="false" ht="15" hidden="false" customHeight="false" outlineLevel="0" collapsed="false">
      <c r="A18" s="18" t="s">
        <v>105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8" t="n">
        <f aca="false">SUM(M4:M17)</f>
        <v>41</v>
      </c>
      <c r="N18" s="19"/>
      <c r="O18" s="18" t="n">
        <f aca="false">SUM(O4:O17)</f>
        <v>41</v>
      </c>
      <c r="P18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1" t="s">
        <v>106</v>
      </c>
    </row>
    <row r="3" customFormat="false" ht="15" hidden="false" customHeight="false" outlineLevel="0" collapsed="false">
      <c r="A3" s="20" t="s">
        <v>107</v>
      </c>
    </row>
    <row r="5" customFormat="false" ht="15" hidden="false" customHeight="false" outlineLevel="0" collapsed="false">
      <c r="A5" s="4" t="s">
        <v>108</v>
      </c>
      <c r="B5" s="16" t="n">
        <f aca="false">Inputs!$C$6*Inputs!$C$23</f>
        <v>5457</v>
      </c>
      <c r="C5" s="6" t="s">
        <v>109</v>
      </c>
    </row>
    <row r="6" customFormat="false" ht="15" hidden="false" customHeight="false" outlineLevel="0" collapsed="false">
      <c r="A6" s="4" t="s">
        <v>110</v>
      </c>
      <c r="B6" s="16" t="n">
        <f aca="false">Inputs!$C$22</f>
        <v>600</v>
      </c>
      <c r="C6" s="6" t="s">
        <v>54</v>
      </c>
    </row>
    <row r="7" customFormat="false" ht="15" hidden="false" customHeight="false" outlineLevel="0" collapsed="false">
      <c r="A7" s="4" t="s">
        <v>111</v>
      </c>
      <c r="B7" s="6" t="n">
        <f aca="false">B5/B6</f>
        <v>9.095</v>
      </c>
      <c r="C7" s="6" t="s">
        <v>112</v>
      </c>
    </row>
    <row r="8" customFormat="false" ht="15" hidden="false" customHeight="false" outlineLevel="0" collapsed="false">
      <c r="A8" s="4" t="s">
        <v>113</v>
      </c>
      <c r="B8" s="16" t="n">
        <f aca="false">Inputs!$C$11/60</f>
        <v>7.2</v>
      </c>
      <c r="C8" s="6" t="s">
        <v>51</v>
      </c>
    </row>
    <row r="9" customFormat="false" ht="15" hidden="false" customHeight="false" outlineLevel="0" collapsed="false">
      <c r="A9" s="4" t="s">
        <v>114</v>
      </c>
      <c r="B9" s="4" t="n">
        <f aca="false">ROUNDUP(B7/B8,0)</f>
        <v>2</v>
      </c>
      <c r="C9" s="6" t="s">
        <v>115</v>
      </c>
    </row>
    <row r="11" customFormat="false" ht="15" hidden="false" customHeight="false" outlineLevel="0" collapsed="false">
      <c r="A11" s="2" t="s">
        <v>116</v>
      </c>
    </row>
    <row r="13" customFormat="false" ht="15" hidden="false" customHeight="false" outlineLevel="0" collapsed="false">
      <c r="A13" s="20" t="s">
        <v>117</v>
      </c>
    </row>
    <row r="14" customFormat="false" ht="15" hidden="false" customHeight="false" outlineLevel="0" collapsed="false">
      <c r="A14" s="4" t="s">
        <v>118</v>
      </c>
      <c r="B14" s="16" t="n">
        <f aca="false">Inputs!$C$6</f>
        <v>1819</v>
      </c>
      <c r="C14" s="6" t="s">
        <v>109</v>
      </c>
    </row>
    <row r="15" customFormat="false" ht="15" hidden="false" customHeight="false" outlineLevel="0" collapsed="false">
      <c r="A15" s="4" t="s">
        <v>119</v>
      </c>
      <c r="B15" s="16" t="n">
        <f aca="false">Inputs!$C$21</f>
        <v>6</v>
      </c>
      <c r="C15" s="6" t="s">
        <v>120</v>
      </c>
    </row>
    <row r="16" customFormat="false" ht="15" hidden="false" customHeight="false" outlineLevel="0" collapsed="false">
      <c r="A16" s="4" t="s">
        <v>121</v>
      </c>
      <c r="B16" s="6" t="n">
        <f aca="false">ROUNDDOWN(Inputs!$C$9/(Inputs!$C$21*60),0)</f>
        <v>1</v>
      </c>
      <c r="C16" s="6" t="s">
        <v>122</v>
      </c>
    </row>
    <row r="17" customFormat="false" ht="15" hidden="false" customHeight="false" outlineLevel="0" collapsed="false">
      <c r="A17" s="4" t="s">
        <v>123</v>
      </c>
      <c r="B17" s="6" t="n">
        <f aca="false">ROUNDUP(B14/MAX(B16,1),0)</f>
        <v>1819</v>
      </c>
      <c r="C17" s="6" t="s">
        <v>124</v>
      </c>
    </row>
    <row r="19" customFormat="false" ht="15" hidden="false" customHeight="false" outlineLevel="0" collapsed="false">
      <c r="A19" s="2" t="s">
        <v>125</v>
      </c>
    </row>
    <row r="21" customFormat="false" ht="15" hidden="false" customHeight="false" outlineLevel="0" collapsed="false">
      <c r="A21" s="20" t="s">
        <v>126</v>
      </c>
    </row>
    <row r="22" customFormat="false" ht="15" hidden="false" customHeight="false" outlineLevel="0" collapsed="false">
      <c r="A22" s="20" t="s">
        <v>127</v>
      </c>
      <c r="B22" s="21" t="n">
        <f aca="false">Inputs!$C$6</f>
        <v>1819</v>
      </c>
      <c r="C22" s="22" t="s">
        <v>109</v>
      </c>
    </row>
    <row r="23" customFormat="false" ht="15" hidden="false" customHeight="false" outlineLevel="0" collapsed="false">
      <c r="A23" s="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1" t="s">
        <v>129</v>
      </c>
    </row>
    <row r="3" customFormat="false" ht="15" hidden="false" customHeight="false" outlineLevel="0" collapsed="false">
      <c r="A3" s="20" t="s">
        <v>130</v>
      </c>
    </row>
    <row r="4" customFormat="false" ht="15" hidden="false" customHeight="false" outlineLevel="0" collapsed="false">
      <c r="A4" s="4" t="s">
        <v>131</v>
      </c>
      <c r="B4" s="5" t="n">
        <v>2</v>
      </c>
      <c r="C4" s="6" t="s">
        <v>48</v>
      </c>
    </row>
    <row r="5" customFormat="false" ht="15" hidden="false" customHeight="false" outlineLevel="0" collapsed="false">
      <c r="A5" s="4" t="s">
        <v>132</v>
      </c>
      <c r="B5" s="6" t="n">
        <f aca="false">Inputs!$C$6*B4</f>
        <v>3638</v>
      </c>
      <c r="C5" s="6" t="s">
        <v>133</v>
      </c>
    </row>
    <row r="6" customFormat="false" ht="15" hidden="false" customHeight="false" outlineLevel="0" collapsed="false">
      <c r="A6" s="4" t="s">
        <v>134</v>
      </c>
      <c r="B6" s="6" t="n">
        <f aca="false">B5/Inputs!$C$14</f>
        <v>3829.47368421053</v>
      </c>
      <c r="C6" s="6" t="s">
        <v>133</v>
      </c>
    </row>
    <row r="7" customFormat="false" ht="15" hidden="false" customHeight="false" outlineLevel="0" collapsed="false">
      <c r="A7" s="4" t="s">
        <v>135</v>
      </c>
      <c r="B7" s="16" t="n">
        <f aca="false">Inputs!$C$20</f>
        <v>40</v>
      </c>
      <c r="C7" s="6" t="s">
        <v>48</v>
      </c>
    </row>
    <row r="8" customFormat="false" ht="15" hidden="false" customHeight="false" outlineLevel="0" collapsed="false">
      <c r="A8" s="4" t="s">
        <v>136</v>
      </c>
      <c r="B8" s="4" t="n">
        <f aca="false">ROUNDUP(B6/B7,0)</f>
        <v>96</v>
      </c>
      <c r="C8" s="6" t="s">
        <v>137</v>
      </c>
    </row>
    <row r="9" customFormat="false" ht="15" hidden="false" customHeight="false" outlineLevel="0" collapsed="false">
      <c r="A9" s="4" t="s">
        <v>138</v>
      </c>
      <c r="B9" s="4" t="n">
        <f aca="false">B8*10</f>
        <v>960</v>
      </c>
      <c r="C9" s="6" t="s">
        <v>139</v>
      </c>
    </row>
    <row r="11" customFormat="false" ht="15" hidden="false" customHeight="false" outlineLevel="0" collapsed="false">
      <c r="A11" s="20" t="s">
        <v>140</v>
      </c>
    </row>
    <row r="12" customFormat="false" ht="15" hidden="false" customHeight="false" outlineLevel="0" collapsed="false">
      <c r="A12" s="20" t="s">
        <v>141</v>
      </c>
      <c r="B12" s="23" t="n">
        <v>2</v>
      </c>
      <c r="C12" s="22" t="s">
        <v>142</v>
      </c>
    </row>
    <row r="13" customFormat="false" ht="15" hidden="false" customHeight="false" outlineLevel="0" collapsed="false">
      <c r="A13" s="20" t="s">
        <v>143</v>
      </c>
      <c r="B13" s="22" t="n">
        <f aca="false">Inputs!$C$6*B12</f>
        <v>3638</v>
      </c>
      <c r="C13" s="22" t="s">
        <v>144</v>
      </c>
    </row>
    <row r="14" customFormat="false" ht="15" hidden="false" customHeight="false" outlineLevel="0" collapsed="false">
      <c r="A14" s="20" t="s">
        <v>145</v>
      </c>
      <c r="B14" s="22" t="n">
        <f aca="false">B13/Inputs!$C$14</f>
        <v>3829.47368421053</v>
      </c>
      <c r="C14" s="22" t="s">
        <v>144</v>
      </c>
    </row>
    <row r="15" customFormat="false" ht="15" hidden="false" customHeight="false" outlineLevel="0" collapsed="false">
      <c r="A15" s="2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" t="s">
        <v>147</v>
      </c>
    </row>
    <row r="3" customFormat="false" ht="15" hidden="false" customHeight="false" outlineLevel="0" collapsed="false">
      <c r="A3" s="4" t="s">
        <v>148</v>
      </c>
      <c r="B3" s="6" t="n">
        <f aca="false">Inputs!$C$12</f>
        <v>15.83</v>
      </c>
    </row>
    <row r="4" customFormat="false" ht="15" hidden="false" customHeight="false" outlineLevel="0" collapsed="false">
      <c r="A4" s="4" t="s">
        <v>149</v>
      </c>
      <c r="B4" s="6" t="n">
        <f aca="false">Inputs!$C$6</f>
        <v>1819</v>
      </c>
    </row>
    <row r="5" customFormat="false" ht="15" hidden="false" customHeight="false" outlineLevel="0" collapsed="false">
      <c r="A5" s="4" t="s">
        <v>150</v>
      </c>
      <c r="B5" s="6" t="n">
        <f aca="false">Capacity!M18</f>
        <v>41</v>
      </c>
    </row>
    <row r="6" customFormat="false" ht="15" hidden="false" customHeight="false" outlineLevel="0" collapsed="false">
      <c r="A6" s="4" t="s">
        <v>151</v>
      </c>
      <c r="B6" s="6" t="n">
        <f aca="false">Capacity!O18</f>
        <v>41</v>
      </c>
    </row>
    <row r="7" customFormat="false" ht="15" hidden="false" customHeight="false" outlineLevel="0" collapsed="false">
      <c r="A7" s="4" t="s">
        <v>152</v>
      </c>
      <c r="B7" s="6" t="n">
        <f aca="false">'Equipment-dep'!B9</f>
        <v>2</v>
      </c>
    </row>
    <row r="8" customFormat="false" ht="15" hidden="false" customHeight="false" outlineLevel="0" collapsed="false">
      <c r="A8" s="4" t="s">
        <v>153</v>
      </c>
      <c r="B8" s="6" t="n">
        <v>1</v>
      </c>
    </row>
    <row r="9" customFormat="false" ht="15" hidden="false" customHeight="false" outlineLevel="0" collapsed="false">
      <c r="A9" s="4" t="s">
        <v>154</v>
      </c>
      <c r="B9" s="6" t="s">
        <v>155</v>
      </c>
    </row>
    <row r="11" customFormat="false" ht="15" hidden="false" customHeight="false" outlineLevel="0" collapsed="false">
      <c r="A11" s="20" t="s">
        <v>156</v>
      </c>
    </row>
    <row r="12" customFormat="false" ht="15" hidden="false" customHeight="false" outlineLevel="0" collapsed="false">
      <c r="A12" s="6" t="s">
        <v>94</v>
      </c>
      <c r="B12" s="4" t="n">
        <f aca="false">Capacity!M10</f>
        <v>9</v>
      </c>
    </row>
    <row r="13" customFormat="false" ht="15" hidden="false" customHeight="false" outlineLevel="0" collapsed="false">
      <c r="A13" s="6" t="s">
        <v>157</v>
      </c>
      <c r="B13" s="4" t="n">
        <f aca="false">Capacity!M7</f>
        <v>5</v>
      </c>
    </row>
    <row r="14" customFormat="false" ht="15" hidden="false" customHeight="false" outlineLevel="0" collapsed="false">
      <c r="A14" s="6" t="s">
        <v>97</v>
      </c>
      <c r="B14" s="4" t="n">
        <f aca="false">Capacity!M11</f>
        <v>5</v>
      </c>
    </row>
    <row r="15" customFormat="false" ht="15" hidden="false" customHeight="false" outlineLevel="0" collapsed="false">
      <c r="A15" s="6" t="s">
        <v>101</v>
      </c>
      <c r="B15" s="4" t="n">
        <f aca="false">Capacity!M15</f>
        <v>5</v>
      </c>
    </row>
    <row r="16" customFormat="false" ht="15" hidden="false" customHeight="false" outlineLevel="0" collapsed="false">
      <c r="A16" s="6" t="s">
        <v>102</v>
      </c>
      <c r="B16" s="4" t="n">
        <f aca="false">Capacity!M16</f>
        <v>3</v>
      </c>
    </row>
    <row r="17" customFormat="false" ht="15" hidden="false" customHeight="false" outlineLevel="0" collapsed="false">
      <c r="A17" s="6" t="s">
        <v>158</v>
      </c>
      <c r="B17" s="4" t="n">
        <f aca="false">Capacity!M17</f>
        <v>3</v>
      </c>
    </row>
    <row r="18" customFormat="false" ht="15" hidden="false" customHeight="false" outlineLevel="0" collapsed="false">
      <c r="A18" s="6" t="s">
        <v>77</v>
      </c>
      <c r="B18" s="4" t="n">
        <f aca="false">Capacity!M4</f>
        <v>3</v>
      </c>
    </row>
    <row r="20" customFormat="false" ht="15" hidden="false" customHeight="false" outlineLevel="0" collapsed="false">
      <c r="A20" s="2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2026-06-08T12:28:15Z</dcterms:created>
  <dc:creator>openpyxl</dc:creator>
  <dc:description/>
  <dc:language>en-US</dc:language>
  <cp:lastModifiedBy/>
  <dcterms:modified xsi:type="dcterms:W3CDTF">2026-06-08T12:28:15Z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